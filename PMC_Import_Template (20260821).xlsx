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MC07\Downloads\"/>
    </mc:Choice>
  </mc:AlternateContent>
  <xr:revisionPtr revIDLastSave="0" documentId="13_ncr:1_{C98A2680-174E-4676-AA32-9FAADE278D4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1" i="1" l="1"/>
  <c r="U151" i="1"/>
  <c r="W150" i="1"/>
  <c r="T150" i="1"/>
  <c r="U150" i="1" s="1"/>
  <c r="W149" i="1"/>
  <c r="T149" i="1"/>
  <c r="U149" i="1" s="1"/>
  <c r="W148" i="1"/>
  <c r="T148" i="1"/>
  <c r="U148" i="1" s="1"/>
  <c r="W147" i="1"/>
  <c r="T147" i="1"/>
  <c r="U147" i="1" s="1"/>
  <c r="W146" i="1"/>
  <c r="T146" i="1"/>
  <c r="U146" i="1" s="1"/>
  <c r="W145" i="1"/>
  <c r="T145" i="1"/>
  <c r="U145" i="1" s="1"/>
  <c r="W144" i="1"/>
  <c r="T144" i="1"/>
  <c r="U144" i="1" s="1"/>
  <c r="W143" i="1"/>
  <c r="T143" i="1"/>
  <c r="U143" i="1" s="1"/>
  <c r="W142" i="1"/>
  <c r="T142" i="1"/>
  <c r="U142" i="1" s="1"/>
  <c r="W141" i="1"/>
  <c r="T141" i="1"/>
  <c r="U141" i="1" s="1"/>
  <c r="W140" i="1"/>
  <c r="T140" i="1"/>
  <c r="U140" i="1" s="1"/>
  <c r="W139" i="1"/>
  <c r="T139" i="1"/>
  <c r="U139" i="1" s="1"/>
  <c r="W138" i="1"/>
  <c r="T138" i="1"/>
  <c r="U138" i="1" s="1"/>
  <c r="W137" i="1"/>
  <c r="T137" i="1"/>
  <c r="U137" i="1" s="1"/>
  <c r="W136" i="1"/>
  <c r="T136" i="1"/>
  <c r="U136" i="1" s="1"/>
  <c r="W135" i="1"/>
  <c r="T135" i="1"/>
  <c r="U135" i="1" s="1"/>
  <c r="W134" i="1"/>
  <c r="T134" i="1"/>
  <c r="U134" i="1" s="1"/>
  <c r="W133" i="1"/>
  <c r="T133" i="1"/>
  <c r="U133" i="1" s="1"/>
  <c r="W132" i="1"/>
  <c r="T132" i="1"/>
  <c r="U132" i="1" s="1"/>
  <c r="W131" i="1"/>
  <c r="T131" i="1"/>
  <c r="U131" i="1" s="1"/>
  <c r="W130" i="1"/>
  <c r="T130" i="1"/>
  <c r="U130" i="1" s="1"/>
  <c r="W129" i="1"/>
  <c r="T129" i="1"/>
  <c r="U129" i="1" s="1"/>
  <c r="W128" i="1"/>
  <c r="T128" i="1"/>
  <c r="U128" i="1" s="1"/>
  <c r="W127" i="1"/>
  <c r="T127" i="1"/>
  <c r="U127" i="1" s="1"/>
  <c r="W126" i="1"/>
  <c r="T126" i="1"/>
  <c r="U126" i="1" s="1"/>
  <c r="W125" i="1"/>
  <c r="T125" i="1"/>
  <c r="U125" i="1" s="1"/>
  <c r="W124" i="1"/>
  <c r="T124" i="1"/>
  <c r="U124" i="1" s="1"/>
  <c r="W123" i="1"/>
  <c r="T123" i="1"/>
  <c r="U123" i="1" s="1"/>
  <c r="W122" i="1"/>
  <c r="T122" i="1"/>
  <c r="U122" i="1" s="1"/>
  <c r="W121" i="1"/>
  <c r="T121" i="1"/>
  <c r="U121" i="1" s="1"/>
  <c r="W120" i="1"/>
  <c r="T120" i="1"/>
  <c r="U120" i="1" s="1"/>
  <c r="W119" i="1"/>
  <c r="T119" i="1"/>
  <c r="U119" i="1" s="1"/>
  <c r="W118" i="1"/>
  <c r="T118" i="1"/>
  <c r="U118" i="1" s="1"/>
  <c r="W117" i="1"/>
  <c r="T117" i="1"/>
  <c r="U117" i="1" s="1"/>
  <c r="W116" i="1"/>
  <c r="T116" i="1"/>
  <c r="U116" i="1" s="1"/>
  <c r="W115" i="1"/>
  <c r="T115" i="1"/>
  <c r="U115" i="1" s="1"/>
  <c r="W114" i="1"/>
  <c r="T114" i="1"/>
  <c r="U114" i="1" s="1"/>
  <c r="S89" i="1"/>
  <c r="S88" i="1"/>
  <c r="S87" i="1"/>
  <c r="S86" i="1"/>
  <c r="S85" i="1"/>
  <c r="S84" i="1"/>
</calcChain>
</file>

<file path=xl/sharedStrings.xml><?xml version="1.0" encoding="utf-8"?>
<sst xmlns="http://schemas.openxmlformats.org/spreadsheetml/2006/main" count="2720" uniqueCount="746">
  <si>
    <t>DEV</t>
  </si>
  <si>
    <t>PODATE</t>
  </si>
  <si>
    <t>ETD</t>
  </si>
  <si>
    <t>PO</t>
  </si>
  <si>
    <t>SUPPLIER</t>
  </si>
  <si>
    <t>MODEL</t>
  </si>
  <si>
    <t>SEASON</t>
  </si>
  <si>
    <t>STAGE</t>
  </si>
  <si>
    <t>COLORWAY</t>
  </si>
  <si>
    <t>COMPONENT</t>
  </si>
  <si>
    <t>MAT</t>
  </si>
  <si>
    <t>MAT'L DESCRIPTION</t>
  </si>
  <si>
    <t>COLOR CODE</t>
  </si>
  <si>
    <t>COLOR NAME</t>
  </si>
  <si>
    <t>SIZE</t>
  </si>
  <si>
    <t>Q'TY</t>
  </si>
  <si>
    <t>UNIT</t>
  </si>
  <si>
    <t>ORIGINAL PRICE</t>
  </si>
  <si>
    <t>PAYMENT PRICE</t>
  </si>
  <si>
    <t>AMOUNT</t>
  </si>
  <si>
    <t>FOC/NON FOC</t>
  </si>
  <si>
    <t>ATA (INPUT)</t>
  </si>
  <si>
    <t>MAT'L TYPE</t>
  </si>
  <si>
    <t>REMARK</t>
  </si>
  <si>
    <t>PIC</t>
  </si>
  <si>
    <t>BARCODE</t>
  </si>
  <si>
    <t>TESTING (YES/NO)</t>
  </si>
  <si>
    <t>TEST REQUIRE</t>
  </si>
  <si>
    <t>TEST Q'TY</t>
  </si>
  <si>
    <t>CATEGORY</t>
  </si>
  <si>
    <t>RACK NO</t>
  </si>
  <si>
    <t>OUT</t>
  </si>
  <si>
    <t>BALANCE</t>
  </si>
  <si>
    <t>THANH/ JAMES.2</t>
  </si>
  <si>
    <t>GSFVN260722P133495-NB</t>
  </si>
  <si>
    <t>San Fang (VN)</t>
  </si>
  <si>
    <t>U204GV1_GO</t>
  </si>
  <si>
    <t>S128</t>
  </si>
  <si>
    <t>GTM1 + WEARTEST</t>
  </si>
  <si>
    <t>U204G4Z4</t>
  </si>
  <si>
    <t>Tongue Top</t>
  </si>
  <si>
    <t>SYN-005065</t>
  </si>
  <si>
    <t>FULI-FREEDOM70 0.7MM  54in P297FKB</t>
  </si>
  <si>
    <t>120-84-00</t>
  </si>
  <si>
    <t>QUARTZ GREY</t>
  </si>
  <si>
    <t>SFDT01</t>
  </si>
  <si>
    <t>YD</t>
  </si>
  <si>
    <t>NA</t>
  </si>
  <si>
    <t>FOC</t>
  </si>
  <si>
    <t>SYNTHETIC</t>
  </si>
  <si>
    <t>GAM</t>
  </si>
  <si>
    <t>YES</t>
  </si>
  <si>
    <t>PHYSICAL TEST</t>
  </si>
  <si>
    <t>0.5YD</t>
  </si>
  <si>
    <t>GOLF (MEDIUM)</t>
  </si>
  <si>
    <t>THIEN/ SHAUN</t>
  </si>
  <si>
    <t>GSFVN260731P133526-NB</t>
  </si>
  <si>
    <t>KID740v1</t>
  </si>
  <si>
    <t>S127</t>
  </si>
  <si>
    <t>SPEED GTM1 + PROD CFM + PULLOVER</t>
  </si>
  <si>
    <t>4R7, 8VY</t>
  </si>
  <si>
    <t>Tongue, Tongue Label, Backtab, L/M Mudguard U'lay, Foxing Accent</t>
  </si>
  <si>
    <t>SYN-12959353</t>
  </si>
  <si>
    <t>1.2MM NB-GREEN-R100-12 54IN P299WMG PEARLIZED</t>
  </si>
  <si>
    <t>8001 C</t>
  </si>
  <si>
    <t>Silver Metallic</t>
  </si>
  <si>
    <t>Gray (SFDT07)</t>
  </si>
  <si>
    <t>NON-FOC</t>
  </si>
  <si>
    <t>NO</t>
  </si>
  <si>
    <t>712607776A</t>
  </si>
  <si>
    <t>DUNG/ HANH</t>
  </si>
  <si>
    <t>GSFVN260806P133536-NB</t>
  </si>
  <si>
    <t>U740V2</t>
  </si>
  <si>
    <t>XTR</t>
  </si>
  <si>
    <t>U7409VJ</t>
  </si>
  <si>
    <t>TIP/TIP U'LAY/ SADDLE/THOAT SATY/BOTTOM EYESTAY/TOP EYESTAY/MUDGUARD LM</t>
  </si>
  <si>
    <t>1.2MM NB-GREEN-R100-12 54IN P000WHR GLOSSY</t>
  </si>
  <si>
    <t>145-17-00</t>
  </si>
  <si>
    <t>BLACK</t>
  </si>
  <si>
    <t>THUY/ SHAUN</t>
  </si>
  <si>
    <t>GSFVN260810P133540-NB</t>
  </si>
  <si>
    <t>SC JUMP</t>
  </si>
  <si>
    <t>S226</t>
  </si>
  <si>
    <t>2VJ</t>
  </si>
  <si>
    <t>TONGUE TOP</t>
  </si>
  <si>
    <t>SYN-12540471</t>
  </si>
  <si>
    <t>VS704-R-NS-NEON 54" P000WKD</t>
  </si>
  <si>
    <t>014-71-51</t>
  </si>
  <si>
    <t>NEON DRAGONFLY</t>
  </si>
  <si>
    <t>WHITE</t>
  </si>
  <si>
    <t>TPU</t>
  </si>
  <si>
    <t>BAO/ HANH</t>
  </si>
  <si>
    <t>GSFVN260808P133538-NB</t>
  </si>
  <si>
    <t>PRODUCTION</t>
  </si>
  <si>
    <t>U7408L9</t>
  </si>
  <si>
    <t>THROAT STAY/ TOP EYESTAY /  BOTTOM EYESTAY LAT/MED</t>
  </si>
  <si>
    <t>1.2MM NB-GREEN-R100-12 54IN P350WSD NEW ANODIZED</t>
  </si>
  <si>
    <t>156-27-20</t>
  </si>
  <si>
    <t>RED VELVET</t>
  </si>
  <si>
    <t>SFDT07</t>
  </si>
  <si>
    <t>SX</t>
  </si>
  <si>
    <t>GSFVN260808P133539-NB</t>
  </si>
  <si>
    <t>AG</t>
  </si>
  <si>
    <t>HONG/ HA</t>
  </si>
  <si>
    <t>GSFVN260810P133541-NB</t>
  </si>
  <si>
    <t>MWRUUFLTTV1</t>
  </si>
  <si>
    <t>S227</t>
  </si>
  <si>
    <t>PROD CFM</t>
  </si>
  <si>
    <t>ALL COLORWAYS</t>
  </si>
  <si>
    <t>N-LOGO TOE CAP</t>
  </si>
  <si>
    <t>VS704-R-SL-NS 54" P179WND PEARLIZED</t>
  </si>
  <si>
    <t>124-91-00</t>
  </si>
  <si>
    <t>NB 103 WHITE MUNSELL</t>
  </si>
  <si>
    <t>ZZ-&gt;SFDT01</t>
  </si>
  <si>
    <t>LUNA/ HANH</t>
  </si>
  <si>
    <t>GSFVN260810P133543-NB</t>
  </si>
  <si>
    <t>GTM1</t>
  </si>
  <si>
    <t>U7402M8</t>
  </si>
  <si>
    <t>TIP/TIP U'LAY/ THROAT STAY/ SADDLE/ TOP EYESTAY/ BOTTOM EYESTAY/  MUDGUARD/ TONGUE LABEL</t>
  </si>
  <si>
    <t xml:space="preserve"> SYN-12959353</t>
  </si>
  <si>
    <t>1.2MM NB-GREEN-R100-12 P333WMA</t>
  </si>
  <si>
    <t>036-90-02</t>
  </si>
  <si>
    <t>SEA SALT</t>
  </si>
  <si>
    <t>LIFESTYLE (MEDIUM)</t>
  </si>
  <si>
    <t>U7403FQ</t>
  </si>
  <si>
    <t>MUDGUARD U’LAY / BACK/SIDE</t>
  </si>
  <si>
    <t>1.2MM NB-GREEN-R100-12-MP P251FGG</t>
  </si>
  <si>
    <t>039-75-01</t>
  </si>
  <si>
    <t>BOYLSTON GREY</t>
  </si>
  <si>
    <t>HAO/ JAMES</t>
  </si>
  <si>
    <t>HTHVN260728P019128-NB</t>
  </si>
  <si>
    <t>TONG HONG (VN)</t>
  </si>
  <si>
    <t>U530</t>
  </si>
  <si>
    <t>SPEED + GTM 1 + PROD CFM</t>
  </si>
  <si>
    <t>U5304SE</t>
  </si>
  <si>
    <t>Tip / Vamp Olay Lat-Med / Saddle Olay Lat-Med / Foxing Olay Lat-Med / Top Tongue</t>
  </si>
  <si>
    <t>LEA-003410</t>
  </si>
  <si>
    <t>Split Suede 1.2-1.4mm</t>
  </si>
  <si>
    <t>043-89-00</t>
  </si>
  <si>
    <t>REFLECTION</t>
  </si>
  <si>
    <t>M 5.5D</t>
  </si>
  <si>
    <t>SF</t>
  </si>
  <si>
    <t>LEATHER</t>
  </si>
  <si>
    <t>HUY</t>
  </si>
  <si>
    <t>Color Test</t>
  </si>
  <si>
    <t>6SF</t>
  </si>
  <si>
    <t xml:space="preserve">MEDIUM Life Styles </t>
  </si>
  <si>
    <t>ELLY/ JAMES.2</t>
  </si>
  <si>
    <t>HTHVN260728P019129-NB</t>
  </si>
  <si>
    <t>U530_18V</t>
  </si>
  <si>
    <t>N logo Olay</t>
  </si>
  <si>
    <t>043-90-14</t>
  </si>
  <si>
    <t>DAWN GLOW</t>
  </si>
  <si>
    <t>M5.5D</t>
  </si>
  <si>
    <t>Yes</t>
  </si>
  <si>
    <t>Physical</t>
  </si>
  <si>
    <t>1 Lifestyle
2 Medium</t>
  </si>
  <si>
    <t>DIEP/ KENT</t>
  </si>
  <si>
    <t>MPHVN260814P158103</t>
  </si>
  <si>
    <t>Paihong (VN)</t>
  </si>
  <si>
    <t>M_W2030</t>
  </si>
  <si>
    <t>TEST SHRINKAGE</t>
  </si>
  <si>
    <t>M20304U6/1YF/ 2TD</t>
  </si>
  <si>
    <t>VAMP REINF</t>
  </si>
  <si>
    <t xml:space="preserve"> </t>
  </si>
  <si>
    <t>PH N450000C, 58IN</t>
  </si>
  <si>
    <t>TEXTILE</t>
  </si>
  <si>
    <t>MARY</t>
  </si>
  <si>
    <t>W20306KT</t>
  </si>
  <si>
    <t xml:space="preserve">REFLECTION </t>
  </si>
  <si>
    <t>MPHVN260817P158106</t>
  </si>
  <si>
    <t xml:space="preserve">M_W2030 </t>
  </si>
  <si>
    <t>PROD TRIAL</t>
  </si>
  <si>
    <t>TLJVN260801P038655-NB</t>
  </si>
  <si>
    <t>LONG JOHN (VN)</t>
  </si>
  <si>
    <t>U7405I8</t>
  </si>
  <si>
    <t>VAMP/  TONGUE</t>
  </si>
  <si>
    <t>KNT-100054379</t>
  </si>
  <si>
    <t>LJ-A12707B-VEPM5+PD 54IN</t>
  </si>
  <si>
    <t>M8D</t>
  </si>
  <si>
    <t>TRANG</t>
  </si>
  <si>
    <t>1 YD</t>
  </si>
  <si>
    <t>LIFESTYLE
(MEDIUM)</t>
  </si>
  <si>
    <t>TLJVN260801P038656-NB</t>
  </si>
  <si>
    <t>U2010</t>
  </si>
  <si>
    <t>5SU</t>
  </si>
  <si>
    <t>Eyestay Reinf</t>
  </si>
  <si>
    <t>LJ-A279-5-P-EPM5, 44"</t>
  </si>
  <si>
    <t>19-4820 TPG</t>
  </si>
  <si>
    <t>Balsam</t>
  </si>
  <si>
    <t>W/ Follow PO# TLJVN260504P038412-NB</t>
  </si>
  <si>
    <t>TLJVN260801P038657-NB</t>
  </si>
  <si>
    <t>Full Size</t>
  </si>
  <si>
    <t>JACK/ HA</t>
  </si>
  <si>
    <t>TLJVN260803P038666-NB</t>
  </si>
  <si>
    <t>U2811V1</t>
  </si>
  <si>
    <t>5TZ</t>
  </si>
  <si>
    <t>TONGUE LAMINATION</t>
  </si>
  <si>
    <t xml:space="preserve">	KNT-100013437</t>
  </si>
  <si>
    <t>LJ-A8-1-N-EPM3, 54"</t>
  </si>
  <si>
    <t>129-22-04</t>
  </si>
  <si>
    <t>ECLIPSE</t>
  </si>
  <si>
    <t>Life Style-Medium
Running Inspired</t>
  </si>
  <si>
    <t>TRI/ HA</t>
  </si>
  <si>
    <t>TLJVN260805P038676-NB</t>
  </si>
  <si>
    <t>U2811</t>
  </si>
  <si>
    <t>SALES SAMPLE</t>
  </si>
  <si>
    <t>U2811871</t>
  </si>
  <si>
    <t>BODY</t>
  </si>
  <si>
    <t>150-29-20</t>
  </si>
  <si>
    <t>MERLOT</t>
  </si>
  <si>
    <t>M9.5D</t>
  </si>
  <si>
    <t>TLJVN260815P038710</t>
  </si>
  <si>
    <t>RE-LINE CFM + PROD CFM</t>
  </si>
  <si>
    <t>U28117VF</t>
  </si>
  <si>
    <t>VAMP REINF/ COLLAR U'LAY LAT/MED</t>
  </si>
  <si>
    <t>Life Style (Medium)
Running Inspired</t>
  </si>
  <si>
    <t>THAO/ SHAUN</t>
  </si>
  <si>
    <t>TLJVN260817P038715</t>
  </si>
  <si>
    <t>SPEED GTM1 + PROD CFM</t>
  </si>
  <si>
    <t>U74087H8</t>
  </si>
  <si>
    <t>INSERT TOP COVER</t>
  </si>
  <si>
    <t>LJ-B1-1-VEPM5 NO DYE, 44"</t>
  </si>
  <si>
    <t>NO DYE</t>
  </si>
  <si>
    <t>9.5D</t>
  </si>
  <si>
    <t>HUNG/ SHAUN</t>
  </si>
  <si>
    <t>TLJVN260818P038723</t>
  </si>
  <si>
    <t>KORVLV4</t>
  </si>
  <si>
    <t>GRVL2OD/ PRVL8BA</t>
  </si>
  <si>
    <t>TONGUE LINING/ COLLAR LINING</t>
  </si>
  <si>
    <t>LJ-B709B-1-EPM5, 44"</t>
  </si>
  <si>
    <t>008-33-31</t>
  </si>
  <si>
    <t>RED LINE</t>
  </si>
  <si>
    <t>GS4M/ PS13M</t>
  </si>
  <si>
    <t>GRVL1AO/ PRVL72O</t>
  </si>
  <si>
    <t>GRVL8ZL/ PRVL3IK</t>
  </si>
  <si>
    <t>017-79-00</t>
  </si>
  <si>
    <t>GREY MATTER</t>
  </si>
  <si>
    <t>BOTTOM STRAP</t>
  </si>
  <si>
    <t>LJ-B1495B-P, 44"</t>
  </si>
  <si>
    <t>EYESTAY LINING</t>
  </si>
  <si>
    <t>LJ-A279-2-P-EPM5, 54"</t>
  </si>
  <si>
    <t>NHUNG/ SHAUN</t>
  </si>
  <si>
    <t>JSSVN260731P151192-NB</t>
  </si>
  <si>
    <t>Sung Shin (VN)</t>
  </si>
  <si>
    <t>K530V1</t>
  </si>
  <si>
    <t>G5306QC</t>
  </si>
  <si>
    <t>MIDSOLE</t>
  </si>
  <si>
    <t>MS-003641</t>
  </si>
  <si>
    <t>IMEVA-52C 3PHR BIO</t>
  </si>
  <si>
    <t>144-71-05</t>
  </si>
  <si>
    <t>LILAC FOG</t>
  </si>
  <si>
    <t>GS4M</t>
  </si>
  <si>
    <t>PRS</t>
  </si>
  <si>
    <t>8/13 ĐẾ KÝ MÀU: COLOR OPT 2 OK</t>
  </si>
  <si>
    <t>JENNY</t>
  </si>
  <si>
    <t>3prs</t>
  </si>
  <si>
    <t>Kids Running Inspired (Medium</t>
  </si>
  <si>
    <t>JSSVN260731P151193-NB</t>
  </si>
  <si>
    <t>U740v2</t>
  </si>
  <si>
    <t>8VY</t>
  </si>
  <si>
    <t xml:space="preserve">	MS-003641</t>
  </si>
  <si>
    <t>IMEVA-52C 3PHR BIO (0 to 3PHR on 4/1/26) (159% ER);EVA Injection Molded and Cold Fusion EVA Based Foams</t>
  </si>
  <si>
    <t>045-84-32</t>
  </si>
  <si>
    <t>Meyer Lemon</t>
  </si>
  <si>
    <t>M8D -&gt;
M9TD</t>
  </si>
  <si>
    <t>8/13 ĐẾ KÝ MÀU + 1 ĐÔI THẢ UV dùm em: OPT1 OK</t>
  </si>
  <si>
    <t>2 prs</t>
  </si>
  <si>
    <t>Life Style (Medium)</t>
  </si>
  <si>
    <t>8RZ</t>
  </si>
  <si>
    <t>097-84-12</t>
  </si>
  <si>
    <t>Flowstate Blue</t>
  </si>
  <si>
    <t>8/13 ĐẾ KÝ MÀU: OPT2 OK</t>
  </si>
  <si>
    <t>JRNVN260807P099194</t>
  </si>
  <si>
    <t>Coats Footwear (VN)</t>
  </si>
  <si>
    <t>U2010B</t>
  </si>
  <si>
    <t>COUNTER</t>
  </si>
  <si>
    <t>P357 U2010B for M's 1.2mm</t>
  </si>
  <si>
    <t>NATURAL</t>
  </si>
  <si>
    <t>M4.5-5.5</t>
  </si>
  <si>
    <t>M7.5-8.5</t>
  </si>
  <si>
    <t>M9-10</t>
  </si>
  <si>
    <t>M10.5-11.5</t>
  </si>
  <si>
    <t>M12-13</t>
  </si>
  <si>
    <t>QUANG/ SHAUN</t>
  </si>
  <si>
    <t>JSSVN260810P151203-NB</t>
  </si>
  <si>
    <t>RE-LINE CFM</t>
  </si>
  <si>
    <t>U7403JK</t>
  </si>
  <si>
    <t>036-90-02 [U740]</t>
  </si>
  <si>
    <t>FOLLOW PO: JSSVN260615P151145-NB</t>
  </si>
  <si>
    <t>JSSVN260810P151204-NB</t>
  </si>
  <si>
    <t>U7403FQ / U7402M8</t>
  </si>
  <si>
    <t>CHAU/ HA</t>
  </si>
  <si>
    <t>JRNVN260811P099195</t>
  </si>
  <si>
    <t>U2010V1 (ESSENTIALS)</t>
  </si>
  <si>
    <t>ALL COLORWAY</t>
  </si>
  <si>
    <t>P357 NB SYM for M's 1.2mm</t>
  </si>
  <si>
    <t>#6-7</t>
  </si>
  <si>
    <t>#7T-8</t>
  </si>
  <si>
    <t>#9-10</t>
  </si>
  <si>
    <t>#10T-11T</t>
  </si>
  <si>
    <t>#12-13</t>
  </si>
  <si>
    <t>VIET/ JAMES.2</t>
  </si>
  <si>
    <t>JRNVN260812P099196</t>
  </si>
  <si>
    <t>U2010V1_LI ELADIO COLLAB</t>
  </si>
  <si>
    <t>SPEED GTM2 + PROD CFM</t>
  </si>
  <si>
    <t>M12D</t>
  </si>
  <si>
    <t>GREY/ HA</t>
  </si>
  <si>
    <t>JRNVN260813P099200</t>
  </si>
  <si>
    <t>MWOTLWV1</t>
  </si>
  <si>
    <t>MOTLW3Z4/ 5NX</t>
  </si>
  <si>
    <t>P357 MOTLWV1 1.0MM</t>
  </si>
  <si>
    <t>SAAVN260731P047018</t>
  </si>
  <si>
    <t>AnAn (VN)</t>
  </si>
  <si>
    <t>U2010V1_LI Eladio Collab</t>
  </si>
  <si>
    <t>EXTREME</t>
  </si>
  <si>
    <t>2ZO</t>
  </si>
  <si>
    <t>LAT/MED N LOGO UNDER</t>
  </si>
  <si>
    <t>1.2MM IMAGE EV-130TPD 54", BACKER: GREY</t>
  </si>
  <si>
    <t>11-0607TPG</t>
  </si>
  <si>
    <t>SUGAR SWIZZLE PANTONE</t>
  </si>
  <si>
    <t>SAAVN260731P047018-NB-1</t>
  </si>
  <si>
    <t>STELLA</t>
  </si>
  <si>
    <t>SAAVN260731P047016</t>
  </si>
  <si>
    <t>3DV</t>
  </si>
  <si>
    <t>LAT/MED N LOGO UNDER 1</t>
  </si>
  <si>
    <t>SAAVN260731P047016-NB-1</t>
  </si>
  <si>
    <t>SAAVN260804P047025</t>
  </si>
  <si>
    <t>U2010V1</t>
  </si>
  <si>
    <t>1R1</t>
  </si>
  <si>
    <t>N LOGO BOTTOM</t>
  </si>
  <si>
    <t>076-27-12</t>
  </si>
  <si>
    <t>NIGHTWATCH GREEN</t>
  </si>
  <si>
    <t>SAAVN260804P047025-NB-2</t>
  </si>
  <si>
    <t>TRI/ JAMES</t>
  </si>
  <si>
    <t>SAAVN260811P047031</t>
  </si>
  <si>
    <t>K2010V1</t>
  </si>
  <si>
    <t>SPEED</t>
  </si>
  <si>
    <t>ALL</t>
  </si>
  <si>
    <t>BACKTAB O'LAY/ FOXING U'LAY</t>
  </si>
  <si>
    <t>1.2MM IMAGE AA019 54", BACKER: GREY</t>
  </si>
  <si>
    <t>134-25-00</t>
  </si>
  <si>
    <t>PHANTOM</t>
  </si>
  <si>
    <t>SAAVN260811P047031-NB-1</t>
  </si>
  <si>
    <t>SAAVN260812P047032</t>
  </si>
  <si>
    <t>SAAVN260812P047032-NB-1</t>
  </si>
  <si>
    <t>TAN/ JAMES</t>
  </si>
  <si>
    <t>SAAVN260813P047035</t>
  </si>
  <si>
    <t>U1890V1</t>
  </si>
  <si>
    <t>1M5</t>
  </si>
  <si>
    <t>TONGUE TOP/FOXING OLAY</t>
  </si>
  <si>
    <t>SYN-100058423</t>
  </si>
  <si>
    <t>1.1MM VITA WG AA057 54", BACKER: WHITE</t>
  </si>
  <si>
    <t>SAAVN260813P047035-NB-1</t>
  </si>
  <si>
    <t xml:space="preserve">PHYSICAL TEST + MT-27 : MAESER FLEX , MT-35 : WICKING TEST , MT-40 : SPRAY TEST
</t>
  </si>
  <si>
    <t>OANH/ JAMES</t>
  </si>
  <si>
    <t>SAAVN260813P047036</t>
  </si>
  <si>
    <t>MW880V16</t>
  </si>
  <si>
    <t>RE-LINE CFM + SALES SAMPLE</t>
  </si>
  <si>
    <t>ALL COLOR</t>
  </si>
  <si>
    <t>FOXING ULAY / SADDLE ULAY</t>
  </si>
  <si>
    <t>N/A</t>
  </si>
  <si>
    <t>1.2MM ECONOCORE 54", BACKER: WHITE</t>
  </si>
  <si>
    <t>NB 103 WHITE</t>
  </si>
  <si>
    <t>SAAVN260813P047036-NB-1</t>
  </si>
  <si>
    <t>SAAVN260814P047040</t>
  </si>
  <si>
    <t>G20107V7/P20108IL/ P20102AH/I20105R0</t>
  </si>
  <si>
    <t>TOP TONGUE O’LAY</t>
  </si>
  <si>
    <t>1.2MM IMAGE AA019 54'', BACKER: GREY</t>
  </si>
  <si>
    <t>SAAVN260814P047040-1</t>
  </si>
  <si>
    <t>G20106GT/ P2010576/ P2010292/I20109YB</t>
  </si>
  <si>
    <t>1.2MM IMAGE AA019 54'', BACKER: KHAKI</t>
  </si>
  <si>
    <t>037-58-08</t>
  </si>
  <si>
    <t>DUNE</t>
  </si>
  <si>
    <t>SAAVN260814P047040-2</t>
  </si>
  <si>
    <t>N LOGO</t>
  </si>
  <si>
    <t>1.4MM IMAGE EV-130TPD 54'', BACKER: GREY</t>
  </si>
  <si>
    <t>SAAVN260814P047040-3</t>
  </si>
  <si>
    <t>041-65-11</t>
  </si>
  <si>
    <t>FIELD STONE</t>
  </si>
  <si>
    <t>SAAVN260814P047040-4</t>
  </si>
  <si>
    <t>SAAVN260814P047041</t>
  </si>
  <si>
    <t>BV TEST + LAB TEST</t>
  </si>
  <si>
    <t>SAAVN260814P047041-1</t>
  </si>
  <si>
    <t>SAAVN260814P047041-2</t>
  </si>
  <si>
    <t>G20106GT/ P2010576/ P2010292/I20109YB/G20106F0/ P20104W9/ P20101BT/I20108W2</t>
  </si>
  <si>
    <t>LAT MED SADDLE U'LAY</t>
  </si>
  <si>
    <t>1.2MM IMAGE AA112 54'', BACKER: BLACK</t>
  </si>
  <si>
    <t>145-17-00 (CONSOLIDATION)</t>
  </si>
  <si>
    <t>SAAVN260814P047040-7</t>
  </si>
  <si>
    <t>HWRCN260731P022068-NB</t>
  </si>
  <si>
    <t>IHL (TL)</t>
  </si>
  <si>
    <t>U5302VB</t>
  </si>
  <si>
    <t>Tip / Vamp Olay / Eyestay Lat-Med</t>
  </si>
  <si>
    <t>CF Summer Nubuck,1.2-1.4mm,WR</t>
  </si>
  <si>
    <t>M 6.5 D - M 13 D</t>
  </si>
  <si>
    <t>HISCN260731P005039-NB</t>
  </si>
  <si>
    <t>ISA (CN)</t>
  </si>
  <si>
    <t>3WR</t>
  </si>
  <si>
    <t>Tip / Saddle Ulay Lat-Med / Forefoot Eyerow / Saddle Lat-Med / Top Eyerow Lat-Med / Mudguard Lat-Med / Foxing</t>
  </si>
  <si>
    <t>1.2-1.4MM SWIFT P</t>
  </si>
  <si>
    <t>030-37-02</t>
  </si>
  <si>
    <t>TORNADO</t>
  </si>
  <si>
    <t>M7D, M10D</t>
  </si>
  <si>
    <t>HISCN260808P005040-NB</t>
  </si>
  <si>
    <t>CARLYN/ JAMES.2</t>
  </si>
  <si>
    <t>MAAVN260714P047240-NB</t>
  </si>
  <si>
    <t>U20107VB
U20109LB</t>
  </si>
  <si>
    <t>SADDLE U'LAY</t>
  </si>
  <si>
    <t>SYN-9790061</t>
  </si>
  <si>
    <t>1.2MM IMAGE AA112, 54in, BACKER: BLACK</t>
  </si>
  <si>
    <t>145-17-00 (CONSOLIDATE)</t>
  </si>
  <si>
    <t>HOANG/ JAMES</t>
  </si>
  <si>
    <t>MAAVN260722P047261-NB</t>
  </si>
  <si>
    <t>UGLFV1</t>
  </si>
  <si>
    <t>0.7MM RE WATER LITE AA186 WG 54",  BACKER: WHITE</t>
  </si>
  <si>
    <t>M'S9.5D</t>
  </si>
  <si>
    <t>PHYSICAL TEST (WATERPROOF)</t>
  </si>
  <si>
    <t>HANA/ HANH</t>
  </si>
  <si>
    <t>YPNVN260818P192022</t>
  </si>
  <si>
    <t>Phong Nguyen (VN)</t>
  </si>
  <si>
    <t>MW860V16</t>
  </si>
  <si>
    <t>GTM1 + WEAR TEST</t>
  </si>
  <si>
    <t>All color ways</t>
  </si>
  <si>
    <t>Footform</t>
  </si>
  <si>
    <t>GROUP 2-05 (MS9.5-10.5/WS11-12)</t>
  </si>
  <si>
    <t>NATURAL WHITE</t>
  </si>
  <si>
    <t>M's 9.5D (9T)</t>
  </si>
  <si>
    <t>FOOTFORM</t>
  </si>
  <si>
    <t>JV8-1057</t>
  </si>
  <si>
    <t>THY</t>
  </si>
  <si>
    <t>GROUP 2-02 (MS5-6/WS6.5-7.5)</t>
  </si>
  <si>
    <t>W's 7B (5)</t>
  </si>
  <si>
    <t>JV2-1073-1</t>
  </si>
  <si>
    <t>TRINH/ KENT</t>
  </si>
  <si>
    <t>MW880V16 GTX</t>
  </si>
  <si>
    <t>5QT/ 9N5</t>
  </si>
  <si>
    <t>FORE-FOOT FOOTFORM</t>
  </si>
  <si>
    <t>NATURAL OTHER</t>
  </si>
  <si>
    <t>(MS9.5-10.5, WS11-12)</t>
  </si>
  <si>
    <t>3N7/ 6XR</t>
  </si>
  <si>
    <t>(M5-6 ,
WS6T-7T)</t>
  </si>
  <si>
    <t>HANH/ JAMES</t>
  </si>
  <si>
    <t>MWKAIRV2</t>
  </si>
  <si>
    <t>FOOT FOAM</t>
  </si>
  <si>
    <t>NB GF-1 FOOT FORM (L)</t>
  </si>
  <si>
    <t xml:space="preserve">NATURAL </t>
  </si>
  <si>
    <t>W7B</t>
  </si>
  <si>
    <t>NB GF-1 FOOT FORM (XL)</t>
  </si>
  <si>
    <t>W8B-9B</t>
  </si>
  <si>
    <t>NB GF-1 FOOT FORM (XXLL)</t>
  </si>
  <si>
    <t>W10B</t>
  </si>
  <si>
    <t>YDTVN260731P172171-RE1</t>
  </si>
  <si>
    <t>Đông Tây Tây Nguyên (VN)</t>
  </si>
  <si>
    <t>OUTSOLE</t>
  </si>
  <si>
    <t>OS-17437593</t>
  </si>
  <si>
    <t>SR-60A (10% MULTI COLOR) + SR-70A</t>
  </si>
  <si>
    <t>144-71-05 + 036-90-02</t>
  </si>
  <si>
    <t>LILAC FOG + SEA SALT</t>
  </si>
  <si>
    <t>892604168A</t>
  </si>
  <si>
    <t>PHYSICAL</t>
  </si>
  <si>
    <t>2 PRS</t>
  </si>
  <si>
    <t xml:space="preserve">Kids Running Inspired (Medium) </t>
  </si>
  <si>
    <t>TAO/ HA</t>
  </si>
  <si>
    <t>YDTVN260813P172186</t>
  </si>
  <si>
    <t>K740V1</t>
  </si>
  <si>
    <t>G7408XV</t>
  </si>
  <si>
    <t>OS-010577</t>
  </si>
  <si>
    <t>NB STD SR-60A(White/Color);Rubber</t>
  </si>
  <si>
    <t>024-35-06 COLORO</t>
  </si>
  <si>
    <t>CORTADO</t>
  </si>
  <si>
    <t>COLOR + HYDROSIS TESTS</t>
  </si>
  <si>
    <t>Kids Running Inspired  (LOW)</t>
  </si>
  <si>
    <t>YDTVN260814P172187</t>
  </si>
  <si>
    <t>U530V1</t>
  </si>
  <si>
    <t>U530_238_8WL_51U</t>
  </si>
  <si>
    <t xml:space="preserve">Outsole </t>
  </si>
  <si>
    <t>NB STD Regrind SR-60A_BLK
 (5% black rubber, 40 mesh)</t>
  </si>
  <si>
    <t>W/ Follow S226 PRODUCTION SA
COLORWAY U530_COC
W/FOLLOW PO: YDTVN260611P172124
NBUS confirm change colorway name U5307BF-&gt; U53051U. PLEASE NOTED</t>
  </si>
  <si>
    <t>YDTVN260815P172188</t>
  </si>
  <si>
    <t>U530958</t>
  </si>
  <si>
    <t>SR-60A_BLK (5% black rubber, 40 mesh)</t>
  </si>
  <si>
    <t>Follow color of SA Production (U740) 
or follow YDTVN260611P172123</t>
  </si>
  <si>
    <t>YDTVN260815P172189</t>
  </si>
  <si>
    <t>Follow color of SA Production (U740)
FOLLOW YDTVN260611P172123</t>
  </si>
  <si>
    <t>YDTVN260817P172191</t>
  </si>
  <si>
    <t>S224</t>
  </si>
  <si>
    <t>U740BM2</t>
  </si>
  <si>
    <t>OS-010576</t>
  </si>
  <si>
    <t>Regrind SR-60A_BLK (5% black rubber, 40 mesh)</t>
  </si>
  <si>
    <t>YDTVN260818P172192</t>
  </si>
  <si>
    <t>KR740V1</t>
  </si>
  <si>
    <t>G7402W6</t>
  </si>
  <si>
    <t>NB STD Regrind SR-60A_BLK (5% black rubber, 40 mesh)</t>
  </si>
  <si>
    <t>145-17-00 COLORO</t>
  </si>
  <si>
    <t>FOLLOW PO # YDTVN260617P172131</t>
  </si>
  <si>
    <t>YDTVN260819P172194</t>
  </si>
  <si>
    <t xml:space="preserve"> G740558</t>
  </si>
  <si>
    <t>SR-60A + 10% MULTI COLOR</t>
  </si>
  <si>
    <t>008-85-11</t>
  </si>
  <si>
    <t>SHELL PINK</t>
  </si>
  <si>
    <t>FOLLOW PO YDTVN251219P172128-NB</t>
  </si>
  <si>
    <t>NHUT/ INNO</t>
  </si>
  <si>
    <t>VSTCN260724P015077-NB</t>
  </si>
  <si>
    <t>SINCETECH (CN)</t>
  </si>
  <si>
    <t>PWRXv4</t>
  </si>
  <si>
    <t>INNO S128</t>
  </si>
  <si>
    <t>UELS7DS</t>
  </si>
  <si>
    <t>VAMP</t>
  </si>
  <si>
    <t>XDG10419-00</t>
  </si>
  <si>
    <t>124-91-00 COLORO</t>
  </si>
  <si>
    <t xml:space="preserve">NB 103 WHITE </t>
  </si>
  <si>
    <t>TEXTILE (E.M)</t>
  </si>
  <si>
    <t>SUBLIMATION 3 COLOR W/ White Base: 
1.013-80-45 / SUNSET RUN
2.024-86-12 / ORANGE FROST
3.145-17-00 / BLACK
Pullover with sublimation
Target ETD: 08.05</t>
  </si>
  <si>
    <t>VINCENT</t>
  </si>
  <si>
    <t>UELS3UD</t>
  </si>
  <si>
    <t>SUBLIMATION 4 COLOR W/ White Base: 
1.061-81-01 / LIGHT BOYLSTON GREY
2.013-80-45 / SUNSET RUN
3.024-86-12 / ORANGE FROST
4.000-27-00 / BLACK TOP
GTM1
Target ETD: 08.10</t>
  </si>
  <si>
    <t>862605369A</t>
  </si>
  <si>
    <t>UELS3LD</t>
  </si>
  <si>
    <t>XDGK10419-00K</t>
  </si>
  <si>
    <t>SUBLIMATION 3 COLOR W/ White Base: 
1.8001C / SILVER METALLIC
2.061-81-01 / LIGHT BOYLSTON GREY
3.145-17-00 / BLACK
--&gt;.The UELS3LD style requires the additional printing on vamp after sublimation process. 
GTM1
Target ETD: 08.10</t>
  </si>
  <si>
    <t>862605370A</t>
  </si>
  <si>
    <t>SUBLIMATION 3 COLOR W/ White Base: 
1.013-80-45 / SUNSET RUN
2.024-86-12 / ORANGE FROST
3.145-17-00 / BLACK
GTM1
Target ETD: 08.10</t>
  </si>
  <si>
    <t>862605371A</t>
  </si>
  <si>
    <t>UELS17P</t>
  </si>
  <si>
    <t>SUBLIMATION 1 COLOR W/ White Base: 
1.043-89-00 / REFLECTION
GTM1
Target ETD: 08.10</t>
  </si>
  <si>
    <t>862605372A</t>
  </si>
  <si>
    <t>VU/ INNO</t>
  </si>
  <si>
    <t>VSTCN260725P015079-NB</t>
  </si>
  <si>
    <t>LDXV4</t>
  </si>
  <si>
    <t>UELRL2FX</t>
  </si>
  <si>
    <t>XDGK10418-00K</t>
  </si>
  <si>
    <t xml:space="preserve">124-91-00 </t>
  </si>
  <si>
    <t>M8.5D</t>
  </si>
  <si>
    <t>862605410A</t>
  </si>
  <si>
    <t>VSTVN260731P015396-NB</t>
  </si>
  <si>
    <t>SINCETECH (VN)</t>
  </si>
  <si>
    <t>4R7</t>
  </si>
  <si>
    <t>Tongue Lining, Collar Lining</t>
  </si>
  <si>
    <t>KNT-100047972</t>
  </si>
  <si>
    <t>A1820-12E</t>
  </si>
  <si>
    <t>Color Test + MT-06</t>
  </si>
  <si>
    <t>VSTVN260810P015410-NB</t>
  </si>
  <si>
    <t>U7403FQ  / U7402M8</t>
  </si>
  <si>
    <t>VAMP REINFORCEMENT</t>
  </si>
  <si>
    <t>WOV-100031202</t>
  </si>
  <si>
    <t>WDE01425-00,59in</t>
  </si>
  <si>
    <t>THU/ SHAUN</t>
  </si>
  <si>
    <t>VSTVN260811P015413-NB</t>
  </si>
  <si>
    <t>U74038U/72F</t>
  </si>
  <si>
    <t>U7402PH</t>
  </si>
  <si>
    <t>AN/ KENT</t>
  </si>
  <si>
    <t>VEPTTH260815P144R075</t>
  </si>
  <si>
    <t>EP TTHLA (VN)</t>
  </si>
  <si>
    <t>UTL900GV1</t>
  </si>
  <si>
    <t>UTL908NF</t>
  </si>
  <si>
    <t>OUTSOLE BASE: RE-GRIND SR-60_BLK(5%)
+ LAT/MED OUTSOLE MIDFOOT: SR-80A + HEEL LOGO: SR-80A</t>
  </si>
  <si>
    <t>145-17-00 + 000-55-00 + 000-55-00</t>
  </si>
  <si>
    <t>BLACK/SLATE GREY/SLATE GREY</t>
  </si>
  <si>
    <t>M'S 9.5D</t>
  </si>
  <si>
    <t>PO#: PS40475647</t>
  </si>
  <si>
    <t>Coats (VN)</t>
  </si>
  <si>
    <t>U2811v1</t>
  </si>
  <si>
    <t>U28116EI</t>
  </si>
  <si>
    <t>THREAD</t>
  </si>
  <si>
    <t>EV32120</t>
  </si>
  <si>
    <t>TJ29Q</t>
  </si>
  <si>
    <t>013-30-20</t>
  </si>
  <si>
    <t>CONE</t>
  </si>
  <si>
    <t>HIEU/ KENT</t>
  </si>
  <si>
    <t>PO#: PS40479041</t>
  </si>
  <si>
    <t>XC7V5</t>
  </si>
  <si>
    <t>U7329</t>
  </si>
  <si>
    <t>NKLH040</t>
  </si>
  <si>
    <t>SD12T</t>
  </si>
  <si>
    <t>134-85-05</t>
  </si>
  <si>
    <t>U717E</t>
  </si>
  <si>
    <t>SD13B</t>
  </si>
  <si>
    <t>024-21-05</t>
  </si>
  <si>
    <t>U78PE/U16V</t>
  </si>
  <si>
    <t>SD11X</t>
  </si>
  <si>
    <t>PO#: PS40479042</t>
  </si>
  <si>
    <t>SD11Z</t>
  </si>
  <si>
    <t>PO#: PS40479054</t>
  </si>
  <si>
    <t>U770PRM GTX</t>
  </si>
  <si>
    <t>PRM</t>
  </si>
  <si>
    <t>OUTSOLE DECO</t>
  </si>
  <si>
    <t>FD06008</t>
  </si>
  <si>
    <t>FD07020</t>
  </si>
  <si>
    <t>BOOTIE</t>
  </si>
  <si>
    <t>FD22080</t>
  </si>
  <si>
    <t>SADDLE/ TONGUE</t>
  </si>
  <si>
    <t>FD15040</t>
  </si>
  <si>
    <t>TIP/FOXING/HEEL TAB</t>
  </si>
  <si>
    <t>EE70N</t>
  </si>
  <si>
    <t>000-27-00</t>
  </si>
  <si>
    <t>PO#: PS40480319</t>
  </si>
  <si>
    <t>XCXV1</t>
  </si>
  <si>
    <t>UELR51Z</t>
  </si>
  <si>
    <t>NKSC040</t>
  </si>
  <si>
    <t>PO#: PS40480320</t>
  </si>
  <si>
    <t>TUAN/ HANH</t>
  </si>
  <si>
    <t>M_WTHIERV9</t>
  </si>
  <si>
    <t>MHIERSCI</t>
  </si>
  <si>
    <t xml:space="preserve">EV32120 </t>
  </si>
  <si>
    <t>00900</t>
  </si>
  <si>
    <t>PO#: PS40480333</t>
  </si>
  <si>
    <t>SD12W</t>
  </si>
  <si>
    <t>SD11N</t>
  </si>
  <si>
    <t>004-23-16</t>
  </si>
  <si>
    <t>PO#: PS40480334</t>
  </si>
  <si>
    <t>DIEM/ KENT</t>
  </si>
  <si>
    <t>CCRVN260818P088074</t>
  </si>
  <si>
    <t>CRMTO (VN)</t>
  </si>
  <si>
    <t>UTL900CV1 COLLAB</t>
  </si>
  <si>
    <t>NB REQUEST</t>
  </si>
  <si>
    <t>COLLAR FOAM</t>
  </si>
  <si>
    <t>NW50 6mm NON WICKING PFAS FREE 44"</t>
  </si>
  <si>
    <t>GREY</t>
  </si>
  <si>
    <t>FOAM</t>
  </si>
  <si>
    <t>TRONG</t>
  </si>
  <si>
    <t>GFRVN260724P136047-NB</t>
  </si>
  <si>
    <t>Framas (VN)</t>
  </si>
  <si>
    <t>MW860v16</t>
  </si>
  <si>
    <t>M8605QA</t>
  </si>
  <si>
    <t>SHANK</t>
  </si>
  <si>
    <t>THP-010257</t>
  </si>
  <si>
    <t>Elastollan 664 D U CN</t>
  </si>
  <si>
    <t>50% TRANSLUCENT 124-91-00 + BACKPAINT 055-87-30</t>
  </si>
  <si>
    <t>50% TRANSLUCENT NB 103 WHITE + BACKPAINT MICRO GREEN</t>
  </si>
  <si>
    <t>M's 9.5D</t>
  </si>
  <si>
    <t>NBRUMW860V16</t>
  </si>
  <si>
    <t>3PRS</t>
  </si>
  <si>
    <t>RUNNING (MEDIUM)</t>
  </si>
  <si>
    <t>M8603IV</t>
  </si>
  <si>
    <t>50% TRANSLUCENT 124-91-00 + BACKPAINT  037-95-56</t>
  </si>
  <si>
    <t>50% TRANSLUCENT NB 103 WHITE + BACKPAINT TAILGATE</t>
  </si>
  <si>
    <t>COLOR TEST</t>
  </si>
  <si>
    <t>2PRS</t>
  </si>
  <si>
    <t>GFRVN260730P136049-NB</t>
  </si>
  <si>
    <t>M8604QF</t>
  </si>
  <si>
    <t>50% TRANSLUCENT 124-91-00 + BACKPAINT  8402C</t>
  </si>
  <si>
    <t>50% TRANSLUCENT NB 103 WHITE + BACKPAINT DARK SILVER METALLIC</t>
  </si>
  <si>
    <t>W8607IE/522</t>
  </si>
  <si>
    <t>50% TRANSLUCENT 124-91-00 + BACKPAINT  8001 C</t>
  </si>
  <si>
    <t>50% TRANSLUCENT NB 103 WHITE + BACKPAINT  SILVER METALLIC</t>
  </si>
  <si>
    <t>W's 7B</t>
  </si>
  <si>
    <t>W8604SB</t>
  </si>
  <si>
    <t>50% TRANSLUCENT 124-91-00 + BACKPAINT 036-90-02</t>
  </si>
  <si>
    <t>50% TRANSLUCENT NB 103 WHITE + BACKPAINT  SEA SALT</t>
  </si>
  <si>
    <t>GFFVN260731P190179-NB</t>
  </si>
  <si>
    <t>FFT (VN)</t>
  </si>
  <si>
    <t>TPU SHANK</t>
  </si>
  <si>
    <t>UTECHLLAN U-95AU10 DPS305</t>
  </si>
  <si>
    <t>100% translucent + Back Paint: 16-1454 TPG</t>
  </si>
  <si>
    <t>Clear</t>
  </si>
  <si>
    <t>M8.5-9.5</t>
  </si>
  <si>
    <t>MOLD CODE: NBU2010V1
FOLLOW PO# GFFVN260305P190077-NB
W/ 100% translucent + Back Paint: 16-1454 TPG (Jaffa Orange)</t>
  </si>
  <si>
    <t>M10-11</t>
  </si>
  <si>
    <t>M11.5-12.5</t>
  </si>
  <si>
    <t>PETER/ JAMES</t>
  </si>
  <si>
    <t>GFFVN260731P190180-NB</t>
  </si>
  <si>
    <t>7RI</t>
  </si>
  <si>
    <t>THP-13402298</t>
  </si>
  <si>
    <t>Covestro Utechllan U.95AU10 DPS305</t>
  </si>
  <si>
    <t>100% translucent + Back paint =000-47-00</t>
  </si>
  <si>
    <t>CLEAR</t>
  </si>
  <si>
    <t>MD 5.5-6.5</t>
  </si>
  <si>
    <t>MOLD CODE: NBU2010V1</t>
  </si>
  <si>
    <t>MD 7-8</t>
  </si>
  <si>
    <t>MD 10-11</t>
  </si>
  <si>
    <t>MD 11.5-12.5</t>
  </si>
  <si>
    <t>GFFVN260731P190181-NB</t>
  </si>
  <si>
    <t>2ZO/4Q0/7XV</t>
  </si>
  <si>
    <t>100% translucent + back paint: 19-3850 TPG + 18-2045 TPG</t>
  </si>
  <si>
    <t>M4D-M5D</t>
  </si>
  <si>
    <t>M5TD-M6TD</t>
  </si>
  <si>
    <t>M7D-M8D</t>
  </si>
  <si>
    <t>M8TD-M9TD</t>
  </si>
  <si>
    <t>M10D-M11D</t>
  </si>
  <si>
    <t>M11TD-M12TD</t>
  </si>
  <si>
    <t>M13D-M14D</t>
  </si>
  <si>
    <t>M14TD-M16D</t>
  </si>
  <si>
    <t>M16TD-M17TD</t>
  </si>
  <si>
    <t>GFFVN260731P190182-NB</t>
  </si>
  <si>
    <t>100% translucent + back paint =030-37-02</t>
  </si>
  <si>
    <t>M7D (7-8)</t>
  </si>
  <si>
    <t>M10D (10-11)</t>
  </si>
  <si>
    <t>GFFVN260803P190184-NB</t>
  </si>
  <si>
    <t xml:space="preserve">	THP-13402298</t>
  </si>
  <si>
    <t>BACK PRINT 124-91-00</t>
  </si>
  <si>
    <t>M8.5D (8.5-9.5)</t>
  </si>
  <si>
    <t>MOLD: NBU2010V1</t>
  </si>
  <si>
    <t>LIFE STYLE (MEDIUM)</t>
  </si>
  <si>
    <t>PHUC/ JAMES.2</t>
  </si>
  <si>
    <t>GFFVN260804P190186-NB</t>
  </si>
  <si>
    <t>U20105JO</t>
  </si>
  <si>
    <t>100% translucent + back paint =000-27-00/BLACTOP</t>
  </si>
  <si>
    <t>M12 (11.5-12.5)</t>
  </si>
  <si>
    <t>FOLLOW PO#'GFFVN260606P190152-NB
MOLD CODE: NBU2010V1</t>
  </si>
  <si>
    <t>M9.5 (8.5-9.5)</t>
  </si>
  <si>
    <t xml:space="preserve">M8D (7-8) </t>
  </si>
  <si>
    <t>M5 (4-5)</t>
  </si>
  <si>
    <t>GFFVN260804P190185-NB</t>
  </si>
  <si>
    <t>100% Transparancy W/Back Paint:  076-27-12</t>
  </si>
  <si>
    <t>5JG</t>
  </si>
  <si>
    <t>100% Transparancy W/Back Paint: 126-22-11</t>
  </si>
  <si>
    <t>GFFVN260805P190187-NB</t>
  </si>
  <si>
    <t>KU2010V1 (ESSENTIALS)</t>
  </si>
  <si>
    <t>G20107V7</t>
  </si>
  <si>
    <t>TPU SHANK GS</t>
  </si>
  <si>
    <t>Covestro Utechllan U-95AU10 DPS305</t>
  </si>
  <si>
    <t>100% Translucent + BACKPAINT: 145-17-00</t>
  </si>
  <si>
    <t>GS4M (3.5-5)</t>
  </si>
  <si>
    <t>MOLD CODE: NBKJU2010V1,W/ 100% Translucent + BACKPAINT: 145-17-00</t>
  </si>
  <si>
    <t>GS6M (5.5-7)</t>
  </si>
  <si>
    <t xml:space="preserve">P2010P70F </t>
  </si>
  <si>
    <t>TPU SHANK PS</t>
  </si>
  <si>
    <t>PS13M (12.5-1)</t>
  </si>
  <si>
    <t>PS11M (10.5-12)</t>
  </si>
  <si>
    <t>GFFVN260811P190190-NB</t>
  </si>
  <si>
    <t>U2010882</t>
  </si>
  <si>
    <t>100% Transparancy W/Back Paint: 025-62-04</t>
  </si>
  <si>
    <t>M9.5D (8.5-9.5)</t>
  </si>
  <si>
    <t>W/ MOLD: NBU2010V1
W/ FOLLOW PO GFFVN260225P190063-NB
W/ 100% Transparancy W/Back Paint: 025-62-04</t>
  </si>
  <si>
    <t>GFFVN260813P190193</t>
  </si>
  <si>
    <t>U20107HY</t>
  </si>
  <si>
    <t>M8D (7-8)</t>
  </si>
  <si>
    <t>W/ MOLD: NBU2010V1
W/ FOLLOW PO: GFFVN260609P190154-NB
W/ 100% Transparancy W/Back Paint: 025-62-04</t>
  </si>
  <si>
    <t>GFRVN260814P136061-NB</t>
  </si>
  <si>
    <t>NIOBIUM</t>
  </si>
  <si>
    <t>TRIAL SAMPLE</t>
  </si>
  <si>
    <t>3F3
(TRAI)</t>
  </si>
  <si>
    <t xml:space="preserve">Elastollan 685AU </t>
  </si>
  <si>
    <t>000-55-00</t>
  </si>
  <si>
    <t>SLATE GREY</t>
  </si>
  <si>
    <t>M9.5</t>
  </si>
  <si>
    <t>MOLD CODE: LIMSNB4 V1
SOLIDA COLOR</t>
  </si>
  <si>
    <t>GCYVN260813P135188-NB</t>
  </si>
  <si>
    <t>CHANG YANG (VN)</t>
  </si>
  <si>
    <t>G7402C3</t>
  </si>
  <si>
    <t xml:space="preserve">	THP-010270</t>
  </si>
  <si>
    <t>Thermoplastics Other; UT85AU10</t>
  </si>
  <si>
    <t>PRINT ''ABZORB'': 024-86-12 + BASE COLOR: 123-76-02</t>
  </si>
  <si>
    <t>MOLD NBR530MA
FILM FOLLOW 740 MODEL</t>
  </si>
  <si>
    <t>Kids Running Inspired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</si>
</sst>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\-yy"/>
  </numFmts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Border="0"/>
    <xf numFmtId="44" fontId="2" fillId="0" borderId="0" applyFont="0" applyFill="0" applyBorder="0" applyAlignment="0" applyProtection="0"/>
    <xf numFmtId="0" fontId="4" fillId="0" borderId="0"/>
  </cellStyleXfs>
  <cellXfs count="9">
    <xf numFmtId="0" fontId="0" fillId="0" borderId="0" xfId="0"/>
    <xf numFmtId="0" fontId="1" fillId="0" borderId="1" xfId="0" applyFont="1" applyBorder="1"/>
    <xf numFmtId="0" fontId="5" fillId="2" borderId="1" xfId="2" applyFont="1" applyFill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44" fontId="5" fillId="2" borderId="1" xfId="2" applyNumberFormat="1" applyFont="1" applyFill="1" applyBorder="1" applyAlignment="1">
      <alignment horizontal="center" vertical="center"/>
    </xf>
    <xf numFmtId="49" fontId="5" fillId="2" borderId="1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shrinkToFit="1"/>
    </xf>
    <xf numFmtId="0" fontId="3" fillId="2" borderId="1" xfId="2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 13" xfId="2" xr:uid="{919B6449-1EE7-4959-9E53-52F645893BB0}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M\DETAIL%20-%20GAM\TRACKING\Sample%20Material%20Purchase%20Order%20Status%202026-G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"/>
      <sheetName val="Sheet1"/>
      <sheetName val="REJECT"/>
      <sheetName val="."/>
      <sheetName val="W.GORE"/>
      <sheetName val="ADRESS+UPACO"/>
      <sheetName val="STOCK GORE "/>
      <sheetName val="SF price"/>
      <sheetName val="GBL price"/>
      <sheetName val="FR price"/>
      <sheetName val="NOTED IMPORTANT"/>
      <sheetName val="CHÚ Ý 11-2025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BU KWANG (KR)_YD</v>
          </cell>
          <cell r="B2" t="str">
            <v>TEXTILE</v>
          </cell>
        </row>
        <row r="3">
          <cell r="A3" t="str">
            <v>Chang Yang (VN)_PRS</v>
          </cell>
          <cell r="B3" t="str">
            <v>SHANK</v>
          </cell>
        </row>
        <row r="4">
          <cell r="A4" t="str">
            <v>Ever Tech (VN)_PRS</v>
          </cell>
          <cell r="B4" t="str">
            <v>SHANK</v>
          </cell>
        </row>
        <row r="5">
          <cell r="A5" t="str">
            <v>FFT (VN)_PRS</v>
          </cell>
          <cell r="B5" t="str">
            <v>SHANK</v>
          </cell>
        </row>
        <row r="6">
          <cell r="A6" t="str">
            <v>Framas (VN)_PRS</v>
          </cell>
          <cell r="B6" t="str">
            <v>SHANK</v>
          </cell>
        </row>
        <row r="7">
          <cell r="A7" t="str">
            <v>GB Light (KR)_M</v>
          </cell>
          <cell r="B7" t="str">
            <v>REFLECTIVE</v>
          </cell>
        </row>
        <row r="8">
          <cell r="A8" t="str">
            <v>GB Light (VN)_M</v>
          </cell>
          <cell r="B8" t="str">
            <v>REFLECTIVE</v>
          </cell>
        </row>
        <row r="9">
          <cell r="A9" t="str">
            <v>San Fang (VN)_YD</v>
          </cell>
          <cell r="B9" t="str">
            <v>SYNTHETIC</v>
          </cell>
        </row>
        <row r="10">
          <cell r="A10" t="str">
            <v>STANBEE (TL)_PRS</v>
          </cell>
          <cell r="B10" t="str">
            <v>COUNTER</v>
          </cell>
        </row>
        <row r="11">
          <cell r="A11" t="str">
            <v>Tech Focus (VN)_PRS</v>
          </cell>
          <cell r="B11" t="str">
            <v>SHANK</v>
          </cell>
        </row>
        <row r="12">
          <cell r="A12" t="str">
            <v>Texon (VN)_PRS</v>
          </cell>
          <cell r="B12" t="str">
            <v>TOE BOX/ COUNTER</v>
          </cell>
        </row>
        <row r="13">
          <cell r="A13" t="str">
            <v>UPACO Adhesives (US)_YD</v>
          </cell>
          <cell r="B13" t="str">
            <v>HOTMELT</v>
          </cell>
        </row>
        <row r="14">
          <cell r="A14" t="str">
            <v>Vibram S.P.A (CN)_PRS</v>
          </cell>
          <cell r="B14" t="str">
            <v>OUTSOLE</v>
          </cell>
        </row>
        <row r="15">
          <cell r="A15" t="str">
            <v>W.L.Gore (HK)_M</v>
          </cell>
          <cell r="B15" t="str">
            <v>NON-WOVEN</v>
          </cell>
        </row>
        <row r="16">
          <cell r="A16" t="str">
            <v>Xin Wei (VN)_PRS</v>
          </cell>
          <cell r="B16" t="str">
            <v>SHANK</v>
          </cell>
        </row>
        <row r="17">
          <cell r="A17" t="str">
            <v>Baiksan (VN)_M</v>
          </cell>
          <cell r="B17" t="str">
            <v>SYNTHETIC</v>
          </cell>
        </row>
        <row r="18">
          <cell r="A18" t="str">
            <v>CHUN XIANG (VN)_YD</v>
          </cell>
          <cell r="B18" t="str">
            <v>TPU</v>
          </cell>
        </row>
        <row r="19">
          <cell r="A19" t="str">
            <v>Daewon (VN)_M</v>
          </cell>
          <cell r="B19" t="str">
            <v>SYNTHETIC</v>
          </cell>
        </row>
        <row r="20">
          <cell r="A20" t="str">
            <v>Hyundae (KR)_YD</v>
          </cell>
          <cell r="B20" t="str">
            <v>SYNTHETIC</v>
          </cell>
        </row>
        <row r="21">
          <cell r="A21" t="str">
            <v>METRO PEARL (IN)_PRS</v>
          </cell>
          <cell r="B21" t="str">
            <v>OUTSOLE</v>
          </cell>
        </row>
        <row r="22">
          <cell r="A22" t="str">
            <v>STANBEE (VN)_PRS</v>
          </cell>
          <cell r="B22" t="str">
            <v>COUNTER</v>
          </cell>
        </row>
        <row r="23">
          <cell r="A23" t="str">
            <v>ATECH 1 (CN)_PRS</v>
          </cell>
          <cell r="B23" t="str">
            <v>OUTSOLE</v>
          </cell>
        </row>
        <row r="24">
          <cell r="A24" t="str">
            <v>PWI (IN)_PRS</v>
          </cell>
          <cell r="B24" t="str">
            <v>OUTSOLE</v>
          </cell>
        </row>
        <row r="25">
          <cell r="A25" t="str">
            <v>Huachang (VN)_YD</v>
          </cell>
          <cell r="B25" t="str">
            <v>SYNTHETIC</v>
          </cell>
        </row>
        <row r="26">
          <cell r="A26" t="str">
            <v>LIGANG (CN)_PRS &amp; YD</v>
          </cell>
          <cell r="B26" t="str">
            <v>TEXTILE</v>
          </cell>
        </row>
        <row r="27">
          <cell r="A27" t="str">
            <v>Shoes for Crews (CN)_PRS</v>
          </cell>
          <cell r="B27" t="str">
            <v>OUTSOLE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1"/>
  <sheetViews>
    <sheetView tabSelected="1" workbookViewId="0"/>
  </sheetViews>
  <sheetFormatPr defaultColWidth="8.5703125"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3">
        <v>46242</v>
      </c>
      <c r="C2" s="3">
        <v>46256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>
        <v>2</v>
      </c>
      <c r="Q2" s="2" t="s">
        <v>46</v>
      </c>
      <c r="R2" s="4">
        <v>12.887499999999999</v>
      </c>
      <c r="S2" s="5">
        <v>10.31</v>
      </c>
      <c r="T2" s="5" t="s">
        <v>47</v>
      </c>
      <c r="U2" s="2" t="s">
        <v>48</v>
      </c>
      <c r="V2" s="3">
        <v>46254</v>
      </c>
      <c r="W2" s="2" t="s">
        <v>49</v>
      </c>
      <c r="X2" s="2">
        <v>30126113310</v>
      </c>
      <c r="Y2" s="2" t="s">
        <v>50</v>
      </c>
      <c r="Z2" s="6">
        <v>712607524</v>
      </c>
      <c r="AA2" s="2" t="s">
        <v>51</v>
      </c>
      <c r="AB2" s="7" t="s">
        <v>52</v>
      </c>
      <c r="AC2" s="2" t="s">
        <v>53</v>
      </c>
      <c r="AD2" s="7" t="s">
        <v>54</v>
      </c>
      <c r="AE2" s="7">
        <v>22.4</v>
      </c>
      <c r="AF2" s="8"/>
      <c r="AG2" s="8"/>
    </row>
    <row r="3" spans="1:33" x14ac:dyDescent="0.25">
      <c r="A3" s="2" t="s">
        <v>55</v>
      </c>
      <c r="B3" s="3">
        <v>46234</v>
      </c>
      <c r="C3" s="3">
        <v>46251</v>
      </c>
      <c r="D3" s="2" t="s">
        <v>56</v>
      </c>
      <c r="E3" s="2" t="s">
        <v>35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>
        <v>1</v>
      </c>
      <c r="Q3" s="2" t="s">
        <v>46</v>
      </c>
      <c r="R3" s="4">
        <v>7.6124999999999998</v>
      </c>
      <c r="S3" s="5">
        <v>6.09</v>
      </c>
      <c r="T3" s="5">
        <v>6.09</v>
      </c>
      <c r="U3" s="2" t="s">
        <v>67</v>
      </c>
      <c r="V3" s="3">
        <v>46254</v>
      </c>
      <c r="W3" s="2" t="s">
        <v>49</v>
      </c>
      <c r="X3" s="2">
        <v>30326016976</v>
      </c>
      <c r="Y3" s="2" t="s">
        <v>50</v>
      </c>
      <c r="Z3" s="6" t="s">
        <v>69</v>
      </c>
      <c r="AA3" s="2" t="s">
        <v>68</v>
      </c>
      <c r="AB3" s="7"/>
      <c r="AC3" s="2"/>
      <c r="AD3" s="7"/>
      <c r="AE3" s="7">
        <v>37.4</v>
      </c>
      <c r="AF3" s="8"/>
      <c r="AG3" s="8"/>
    </row>
    <row r="4" spans="1:33" x14ac:dyDescent="0.25">
      <c r="A4" s="2" t="s">
        <v>70</v>
      </c>
      <c r="B4" s="3">
        <v>46240</v>
      </c>
      <c r="C4" s="3">
        <v>46255</v>
      </c>
      <c r="D4" s="2" t="s">
        <v>71</v>
      </c>
      <c r="E4" s="2" t="s">
        <v>35</v>
      </c>
      <c r="F4" s="2" t="s">
        <v>72</v>
      </c>
      <c r="G4" s="2" t="s">
        <v>58</v>
      </c>
      <c r="H4" s="2" t="s">
        <v>73</v>
      </c>
      <c r="I4" s="2" t="s">
        <v>74</v>
      </c>
      <c r="J4" s="2" t="s">
        <v>75</v>
      </c>
      <c r="K4" s="2" t="s">
        <v>62</v>
      </c>
      <c r="L4" s="2" t="s">
        <v>76</v>
      </c>
      <c r="M4" s="2" t="s">
        <v>77</v>
      </c>
      <c r="N4" s="2" t="s">
        <v>78</v>
      </c>
      <c r="O4" s="2" t="s">
        <v>78</v>
      </c>
      <c r="P4" s="2">
        <v>3</v>
      </c>
      <c r="Q4" s="2" t="s">
        <v>46</v>
      </c>
      <c r="R4" s="4">
        <v>6.9874999999999998</v>
      </c>
      <c r="S4" s="5">
        <v>5.59</v>
      </c>
      <c r="T4" s="5" t="s">
        <v>47</v>
      </c>
      <c r="U4" s="2" t="s">
        <v>48</v>
      </c>
      <c r="V4" s="3">
        <v>46254</v>
      </c>
      <c r="W4" s="2" t="s">
        <v>49</v>
      </c>
      <c r="X4" s="2">
        <v>30126111554</v>
      </c>
      <c r="Y4" s="2" t="s">
        <v>50</v>
      </c>
      <c r="Z4" s="6">
        <v>712607975</v>
      </c>
      <c r="AA4" s="2" t="s">
        <v>68</v>
      </c>
      <c r="AB4" s="7"/>
      <c r="AC4" s="2"/>
      <c r="AD4" s="7"/>
      <c r="AE4" s="7">
        <v>25.2</v>
      </c>
      <c r="AF4" s="8"/>
      <c r="AG4" s="8"/>
    </row>
    <row r="5" spans="1:33" x14ac:dyDescent="0.25">
      <c r="A5" s="2" t="s">
        <v>79</v>
      </c>
      <c r="B5" s="3">
        <v>46244</v>
      </c>
      <c r="C5" s="3">
        <v>46259</v>
      </c>
      <c r="D5" s="2" t="s">
        <v>80</v>
      </c>
      <c r="E5" s="2" t="s">
        <v>35</v>
      </c>
      <c r="F5" s="2" t="s">
        <v>81</v>
      </c>
      <c r="G5" s="2" t="s">
        <v>82</v>
      </c>
      <c r="H5" s="2" t="s">
        <v>73</v>
      </c>
      <c r="I5" s="2" t="s">
        <v>83</v>
      </c>
      <c r="J5" s="2" t="s">
        <v>84</v>
      </c>
      <c r="K5" s="2" t="s">
        <v>85</v>
      </c>
      <c r="L5" s="2" t="s">
        <v>86</v>
      </c>
      <c r="M5" s="2" t="s">
        <v>87</v>
      </c>
      <c r="N5" s="2" t="s">
        <v>88</v>
      </c>
      <c r="O5" s="2" t="s">
        <v>89</v>
      </c>
      <c r="P5" s="2">
        <v>1</v>
      </c>
      <c r="Q5" s="2" t="s">
        <v>46</v>
      </c>
      <c r="R5" s="4">
        <v>10.45</v>
      </c>
      <c r="S5" s="5">
        <v>8.36</v>
      </c>
      <c r="T5" s="5" t="s">
        <v>47</v>
      </c>
      <c r="U5" s="2" t="s">
        <v>48</v>
      </c>
      <c r="V5" s="3">
        <v>46254</v>
      </c>
      <c r="W5" s="2" t="s">
        <v>90</v>
      </c>
      <c r="X5" s="2">
        <v>30126113710</v>
      </c>
      <c r="Y5" s="2" t="s">
        <v>50</v>
      </c>
      <c r="Z5" s="6">
        <v>712608001</v>
      </c>
      <c r="AA5" s="2" t="s">
        <v>68</v>
      </c>
      <c r="AB5" s="7"/>
      <c r="AC5" s="2"/>
      <c r="AD5" s="7"/>
      <c r="AE5" s="7">
        <v>24.1</v>
      </c>
      <c r="AF5" s="8"/>
      <c r="AG5" s="8"/>
    </row>
    <row r="6" spans="1:33" x14ac:dyDescent="0.25">
      <c r="A6" s="2" t="s">
        <v>91</v>
      </c>
      <c r="B6" s="3">
        <v>46242</v>
      </c>
      <c r="C6" s="3">
        <v>46258</v>
      </c>
      <c r="D6" s="2" t="s">
        <v>92</v>
      </c>
      <c r="E6" s="2" t="s">
        <v>35</v>
      </c>
      <c r="F6" s="2" t="s">
        <v>72</v>
      </c>
      <c r="G6" s="2" t="s">
        <v>58</v>
      </c>
      <c r="H6" s="2" t="s">
        <v>93</v>
      </c>
      <c r="I6" s="2" t="s">
        <v>94</v>
      </c>
      <c r="J6" s="2" t="s">
        <v>95</v>
      </c>
      <c r="K6" s="2" t="s">
        <v>62</v>
      </c>
      <c r="L6" s="2" t="s">
        <v>96</v>
      </c>
      <c r="M6" s="2" t="s">
        <v>97</v>
      </c>
      <c r="N6" s="2" t="s">
        <v>98</v>
      </c>
      <c r="O6" s="2" t="s">
        <v>99</v>
      </c>
      <c r="P6" s="2">
        <v>61</v>
      </c>
      <c r="Q6" s="2" t="s">
        <v>46</v>
      </c>
      <c r="R6" s="4">
        <v>9.4874999999999989</v>
      </c>
      <c r="S6" s="5">
        <v>7.59</v>
      </c>
      <c r="T6" s="5">
        <v>462.99</v>
      </c>
      <c r="U6" s="2" t="s">
        <v>67</v>
      </c>
      <c r="V6" s="3">
        <v>46254</v>
      </c>
      <c r="W6" s="2" t="s">
        <v>49</v>
      </c>
      <c r="X6" s="2">
        <v>30326017877</v>
      </c>
      <c r="Y6" s="2" t="s">
        <v>50</v>
      </c>
      <c r="Z6" s="6">
        <v>712608002</v>
      </c>
      <c r="AA6" s="2" t="s">
        <v>68</v>
      </c>
      <c r="AB6" s="7"/>
      <c r="AC6" s="2"/>
      <c r="AD6" s="7"/>
      <c r="AE6" s="7" t="s">
        <v>100</v>
      </c>
      <c r="AF6" s="8"/>
      <c r="AG6" s="8"/>
    </row>
    <row r="7" spans="1:33" x14ac:dyDescent="0.25">
      <c r="A7" s="2" t="s">
        <v>91</v>
      </c>
      <c r="B7" s="3">
        <v>46242</v>
      </c>
      <c r="C7" s="3">
        <v>46258</v>
      </c>
      <c r="D7" s="2" t="s">
        <v>101</v>
      </c>
      <c r="E7" s="2" t="s">
        <v>35</v>
      </c>
      <c r="F7" s="2" t="s">
        <v>72</v>
      </c>
      <c r="G7" s="2" t="s">
        <v>58</v>
      </c>
      <c r="H7" s="2" t="s">
        <v>93</v>
      </c>
      <c r="I7" s="2" t="s">
        <v>94</v>
      </c>
      <c r="J7" s="2" t="s">
        <v>95</v>
      </c>
      <c r="K7" s="2" t="s">
        <v>62</v>
      </c>
      <c r="L7" s="2" t="s">
        <v>96</v>
      </c>
      <c r="M7" s="2" t="s">
        <v>97</v>
      </c>
      <c r="N7" s="2" t="s">
        <v>98</v>
      </c>
      <c r="O7" s="2" t="s">
        <v>99</v>
      </c>
      <c r="P7" s="2">
        <v>49</v>
      </c>
      <c r="Q7" s="2" t="s">
        <v>46</v>
      </c>
      <c r="R7" s="4">
        <v>9.4874999999999989</v>
      </c>
      <c r="S7" s="5">
        <v>7.59</v>
      </c>
      <c r="T7" s="5">
        <v>371.90999999999997</v>
      </c>
      <c r="U7" s="2" t="s">
        <v>67</v>
      </c>
      <c r="V7" s="3">
        <v>46254</v>
      </c>
      <c r="W7" s="2" t="s">
        <v>49</v>
      </c>
      <c r="X7" s="2">
        <v>30326017882</v>
      </c>
      <c r="Y7" s="2" t="s">
        <v>50</v>
      </c>
      <c r="Z7" s="6">
        <v>712608003</v>
      </c>
      <c r="AA7" s="2" t="s">
        <v>68</v>
      </c>
      <c r="AB7" s="7"/>
      <c r="AC7" s="2"/>
      <c r="AD7" s="7"/>
      <c r="AE7" s="7" t="s">
        <v>102</v>
      </c>
      <c r="AF7" s="8"/>
      <c r="AG7" s="8"/>
    </row>
    <row r="8" spans="1:33" x14ac:dyDescent="0.25">
      <c r="A8" s="2" t="s">
        <v>103</v>
      </c>
      <c r="B8" s="3">
        <v>46244</v>
      </c>
      <c r="C8" s="3">
        <v>46259</v>
      </c>
      <c r="D8" s="2" t="s">
        <v>104</v>
      </c>
      <c r="E8" s="2" t="s">
        <v>35</v>
      </c>
      <c r="F8" s="2" t="s">
        <v>105</v>
      </c>
      <c r="G8" s="2" t="s">
        <v>106</v>
      </c>
      <c r="H8" s="2" t="s">
        <v>107</v>
      </c>
      <c r="I8" s="2" t="s">
        <v>108</v>
      </c>
      <c r="J8" s="2" t="s">
        <v>109</v>
      </c>
      <c r="K8" s="2"/>
      <c r="L8" s="2" t="s">
        <v>110</v>
      </c>
      <c r="M8" s="2" t="s">
        <v>111</v>
      </c>
      <c r="N8" s="2" t="s">
        <v>112</v>
      </c>
      <c r="O8" s="2" t="s">
        <v>113</v>
      </c>
      <c r="P8" s="2">
        <v>2</v>
      </c>
      <c r="Q8" s="2" t="s">
        <v>46</v>
      </c>
      <c r="R8" s="4">
        <v>10.45</v>
      </c>
      <c r="S8" s="5">
        <v>8.36</v>
      </c>
      <c r="T8" s="5" t="s">
        <v>47</v>
      </c>
      <c r="U8" s="2" t="s">
        <v>48</v>
      </c>
      <c r="V8" s="3">
        <v>46254</v>
      </c>
      <c r="W8" s="2" t="s">
        <v>90</v>
      </c>
      <c r="X8" s="2">
        <v>30126113863</v>
      </c>
      <c r="Y8" s="2" t="s">
        <v>50</v>
      </c>
      <c r="Z8" s="6">
        <v>712608006</v>
      </c>
      <c r="AA8" s="2" t="s">
        <v>68</v>
      </c>
      <c r="AB8" s="7"/>
      <c r="AC8" s="2"/>
      <c r="AD8" s="7"/>
      <c r="AE8" s="7">
        <v>24.1</v>
      </c>
      <c r="AF8" s="8"/>
      <c r="AG8" s="8"/>
    </row>
    <row r="9" spans="1:33" x14ac:dyDescent="0.25">
      <c r="A9" s="2" t="s">
        <v>114</v>
      </c>
      <c r="B9" s="3">
        <v>46244</v>
      </c>
      <c r="C9" s="3">
        <v>46259</v>
      </c>
      <c r="D9" s="2" t="s">
        <v>115</v>
      </c>
      <c r="E9" s="2" t="s">
        <v>35</v>
      </c>
      <c r="F9" s="2" t="s">
        <v>72</v>
      </c>
      <c r="G9" s="2" t="s">
        <v>37</v>
      </c>
      <c r="H9" s="2" t="s">
        <v>116</v>
      </c>
      <c r="I9" s="2" t="s">
        <v>117</v>
      </c>
      <c r="J9" s="2" t="s">
        <v>118</v>
      </c>
      <c r="K9" s="2" t="s">
        <v>119</v>
      </c>
      <c r="L9" s="2" t="s">
        <v>120</v>
      </c>
      <c r="M9" s="2" t="s">
        <v>121</v>
      </c>
      <c r="N9" s="2" t="s">
        <v>122</v>
      </c>
      <c r="O9" s="2" t="s">
        <v>99</v>
      </c>
      <c r="P9" s="2">
        <v>4</v>
      </c>
      <c r="Q9" s="2" t="s">
        <v>46</v>
      </c>
      <c r="R9" s="4">
        <v>6.9874999999999998</v>
      </c>
      <c r="S9" s="5">
        <v>5.59</v>
      </c>
      <c r="T9" s="5" t="s">
        <v>47</v>
      </c>
      <c r="U9" s="2" t="s">
        <v>48</v>
      </c>
      <c r="V9" s="3">
        <v>46254</v>
      </c>
      <c r="W9" s="2" t="s">
        <v>49</v>
      </c>
      <c r="X9" s="2">
        <v>30126114060</v>
      </c>
      <c r="Y9" s="2" t="s">
        <v>50</v>
      </c>
      <c r="Z9" s="6">
        <v>712608009</v>
      </c>
      <c r="AA9" s="2" t="s">
        <v>51</v>
      </c>
      <c r="AB9" s="7" t="s">
        <v>52</v>
      </c>
      <c r="AC9" s="2" t="s">
        <v>53</v>
      </c>
      <c r="AD9" s="7" t="s">
        <v>123</v>
      </c>
      <c r="AE9" s="7">
        <v>38.1</v>
      </c>
      <c r="AF9" s="8"/>
      <c r="AG9" s="8"/>
    </row>
    <row r="10" spans="1:33" x14ac:dyDescent="0.25">
      <c r="A10" s="2" t="s">
        <v>114</v>
      </c>
      <c r="B10" s="3">
        <v>46244</v>
      </c>
      <c r="C10" s="3">
        <v>46259</v>
      </c>
      <c r="D10" s="2" t="s">
        <v>115</v>
      </c>
      <c r="E10" s="2" t="s">
        <v>35</v>
      </c>
      <c r="F10" s="2" t="s">
        <v>72</v>
      </c>
      <c r="G10" s="2" t="s">
        <v>37</v>
      </c>
      <c r="H10" s="2" t="s">
        <v>116</v>
      </c>
      <c r="I10" s="2" t="s">
        <v>124</v>
      </c>
      <c r="J10" s="2" t="s">
        <v>125</v>
      </c>
      <c r="K10" s="2" t="s">
        <v>119</v>
      </c>
      <c r="L10" s="2" t="s">
        <v>126</v>
      </c>
      <c r="M10" s="2" t="s">
        <v>127</v>
      </c>
      <c r="N10" s="2" t="s">
        <v>128</v>
      </c>
      <c r="O10" s="2" t="s">
        <v>99</v>
      </c>
      <c r="P10" s="2">
        <v>2</v>
      </c>
      <c r="Q10" s="2" t="s">
        <v>46</v>
      </c>
      <c r="R10" s="4">
        <v>7.6124999999999998</v>
      </c>
      <c r="S10" s="5">
        <v>6.09</v>
      </c>
      <c r="T10" s="5" t="s">
        <v>47</v>
      </c>
      <c r="U10" s="2" t="s">
        <v>48</v>
      </c>
      <c r="V10" s="3">
        <v>46254</v>
      </c>
      <c r="W10" s="2" t="s">
        <v>49</v>
      </c>
      <c r="X10" s="2">
        <v>30126114053</v>
      </c>
      <c r="Y10" s="2" t="s">
        <v>50</v>
      </c>
      <c r="Z10" s="6">
        <v>712608010</v>
      </c>
      <c r="AA10" s="2" t="s">
        <v>51</v>
      </c>
      <c r="AB10" s="7" t="s">
        <v>52</v>
      </c>
      <c r="AC10" s="2" t="s">
        <v>53</v>
      </c>
      <c r="AD10" s="7" t="s">
        <v>123</v>
      </c>
      <c r="AE10" s="7">
        <v>38.1</v>
      </c>
      <c r="AF10" s="8"/>
      <c r="AG10" s="8"/>
    </row>
    <row r="11" spans="1:33" x14ac:dyDescent="0.25">
      <c r="A11" s="2" t="s">
        <v>129</v>
      </c>
      <c r="B11" s="3">
        <v>46231</v>
      </c>
      <c r="C11" s="3">
        <v>46247</v>
      </c>
      <c r="D11" s="2" t="s">
        <v>130</v>
      </c>
      <c r="E11" s="2" t="s">
        <v>131</v>
      </c>
      <c r="F11" s="2" t="s">
        <v>132</v>
      </c>
      <c r="G11" s="2" t="s">
        <v>106</v>
      </c>
      <c r="H11" s="2" t="s">
        <v>133</v>
      </c>
      <c r="I11" s="2" t="s">
        <v>134</v>
      </c>
      <c r="J11" s="2" t="s">
        <v>135</v>
      </c>
      <c r="K11" s="2" t="s">
        <v>136</v>
      </c>
      <c r="L11" s="2" t="s">
        <v>137</v>
      </c>
      <c r="M11" s="2" t="s">
        <v>138</v>
      </c>
      <c r="N11" s="2" t="s">
        <v>139</v>
      </c>
      <c r="O11" s="2" t="s">
        <v>140</v>
      </c>
      <c r="P11" s="2">
        <v>75.099999999999994</v>
      </c>
      <c r="Q11" s="2" t="s">
        <v>141</v>
      </c>
      <c r="R11" s="4">
        <v>1.33</v>
      </c>
      <c r="S11" s="4">
        <v>1.33</v>
      </c>
      <c r="T11" s="5">
        <v>99.88</v>
      </c>
      <c r="U11" s="2" t="s">
        <v>67</v>
      </c>
      <c r="V11" s="3">
        <v>46254</v>
      </c>
      <c r="W11" s="2" t="s">
        <v>142</v>
      </c>
      <c r="X11" s="2"/>
      <c r="Y11" s="2" t="s">
        <v>143</v>
      </c>
      <c r="Z11" s="6">
        <v>722600885</v>
      </c>
      <c r="AA11" s="2" t="s">
        <v>51</v>
      </c>
      <c r="AB11" s="7" t="s">
        <v>144</v>
      </c>
      <c r="AC11" s="2" t="s">
        <v>145</v>
      </c>
      <c r="AD11" s="7" t="s">
        <v>146</v>
      </c>
      <c r="AE11" s="7"/>
      <c r="AF11" s="8"/>
      <c r="AG11" s="8"/>
    </row>
    <row r="12" spans="1:33" x14ac:dyDescent="0.25">
      <c r="A12" s="2" t="s">
        <v>147</v>
      </c>
      <c r="B12" s="3">
        <v>46231</v>
      </c>
      <c r="C12" s="3">
        <v>46247</v>
      </c>
      <c r="D12" s="2" t="s">
        <v>148</v>
      </c>
      <c r="E12" s="2" t="s">
        <v>131</v>
      </c>
      <c r="F12" s="2" t="s">
        <v>132</v>
      </c>
      <c r="G12" s="2" t="s">
        <v>106</v>
      </c>
      <c r="H12" s="2" t="s">
        <v>133</v>
      </c>
      <c r="I12" s="2" t="s">
        <v>149</v>
      </c>
      <c r="J12" s="2" t="s">
        <v>150</v>
      </c>
      <c r="K12" s="2" t="s">
        <v>136</v>
      </c>
      <c r="L12" s="2" t="s">
        <v>137</v>
      </c>
      <c r="M12" s="2" t="s">
        <v>151</v>
      </c>
      <c r="N12" s="2" t="s">
        <v>152</v>
      </c>
      <c r="O12" s="2" t="s">
        <v>153</v>
      </c>
      <c r="P12" s="2">
        <v>33.4</v>
      </c>
      <c r="Q12" s="2" t="s">
        <v>141</v>
      </c>
      <c r="R12" s="4">
        <v>1.33</v>
      </c>
      <c r="S12" s="4">
        <v>1.33</v>
      </c>
      <c r="T12" s="5">
        <v>44.42</v>
      </c>
      <c r="U12" s="2" t="s">
        <v>67</v>
      </c>
      <c r="V12" s="3">
        <v>46254</v>
      </c>
      <c r="W12" s="2" t="s">
        <v>142</v>
      </c>
      <c r="X12" s="2"/>
      <c r="Y12" s="2" t="s">
        <v>143</v>
      </c>
      <c r="Z12" s="6">
        <v>722600889</v>
      </c>
      <c r="AA12" s="2" t="s">
        <v>154</v>
      </c>
      <c r="AB12" s="7" t="s">
        <v>155</v>
      </c>
      <c r="AC12" s="2" t="s">
        <v>145</v>
      </c>
      <c r="AD12" s="7" t="s">
        <v>156</v>
      </c>
      <c r="AE12" s="7"/>
      <c r="AF12" s="8"/>
      <c r="AG12" s="8"/>
    </row>
    <row r="13" spans="1:33" x14ac:dyDescent="0.25">
      <c r="A13" s="2" t="s">
        <v>157</v>
      </c>
      <c r="B13" s="3">
        <v>46248</v>
      </c>
      <c r="C13" s="3">
        <v>46254</v>
      </c>
      <c r="D13" s="2" t="s">
        <v>158</v>
      </c>
      <c r="E13" s="2" t="s">
        <v>159</v>
      </c>
      <c r="F13" s="2" t="s">
        <v>160</v>
      </c>
      <c r="G13" s="2" t="s">
        <v>58</v>
      </c>
      <c r="H13" s="2" t="s">
        <v>161</v>
      </c>
      <c r="I13" s="2" t="s">
        <v>162</v>
      </c>
      <c r="J13" s="2" t="s">
        <v>163</v>
      </c>
      <c r="K13" s="2" t="s">
        <v>164</v>
      </c>
      <c r="L13" s="2" t="s">
        <v>165</v>
      </c>
      <c r="M13" s="2" t="s">
        <v>77</v>
      </c>
      <c r="N13" s="2" t="s">
        <v>78</v>
      </c>
      <c r="O13" s="2"/>
      <c r="P13" s="2">
        <v>10</v>
      </c>
      <c r="Q13" s="2" t="s">
        <v>46</v>
      </c>
      <c r="R13" s="4">
        <v>5.39</v>
      </c>
      <c r="S13" s="5">
        <v>5.39</v>
      </c>
      <c r="T13" s="5">
        <v>53.9</v>
      </c>
      <c r="U13" s="2" t="s">
        <v>67</v>
      </c>
      <c r="V13" s="3">
        <v>46254</v>
      </c>
      <c r="W13" s="2" t="s">
        <v>166</v>
      </c>
      <c r="X13" s="2"/>
      <c r="Y13" s="2" t="s">
        <v>167</v>
      </c>
      <c r="Z13" s="6">
        <v>772607083</v>
      </c>
      <c r="AA13" s="2" t="s">
        <v>68</v>
      </c>
      <c r="AB13" s="7"/>
      <c r="AC13" s="2"/>
      <c r="AD13" s="7"/>
      <c r="AE13" s="7">
        <v>2.2000000000000002</v>
      </c>
      <c r="AF13" s="8"/>
      <c r="AG13" s="8"/>
    </row>
    <row r="14" spans="1:33" x14ac:dyDescent="0.25">
      <c r="A14" s="2" t="s">
        <v>157</v>
      </c>
      <c r="B14" s="3">
        <v>46248</v>
      </c>
      <c r="C14" s="3">
        <v>46254</v>
      </c>
      <c r="D14" s="2" t="s">
        <v>158</v>
      </c>
      <c r="E14" s="2" t="s">
        <v>159</v>
      </c>
      <c r="F14" s="2" t="s">
        <v>160</v>
      </c>
      <c r="G14" s="2" t="s">
        <v>58</v>
      </c>
      <c r="H14" s="2" t="s">
        <v>161</v>
      </c>
      <c r="I14" s="2" t="s">
        <v>168</v>
      </c>
      <c r="J14" s="2" t="s">
        <v>163</v>
      </c>
      <c r="K14" s="2" t="s">
        <v>164</v>
      </c>
      <c r="L14" s="2" t="s">
        <v>165</v>
      </c>
      <c r="M14" s="2" t="s">
        <v>138</v>
      </c>
      <c r="N14" s="2" t="s">
        <v>169</v>
      </c>
      <c r="O14" s="2"/>
      <c r="P14" s="2">
        <v>6</v>
      </c>
      <c r="Q14" s="2" t="s">
        <v>46</v>
      </c>
      <c r="R14" s="4">
        <v>5.39</v>
      </c>
      <c r="S14" s="5">
        <v>5.39</v>
      </c>
      <c r="T14" s="5">
        <v>32.339999999999996</v>
      </c>
      <c r="U14" s="2" t="s">
        <v>67</v>
      </c>
      <c r="V14" s="3">
        <v>46254</v>
      </c>
      <c r="W14" s="2" t="s">
        <v>166</v>
      </c>
      <c r="X14" s="2"/>
      <c r="Y14" s="2" t="s">
        <v>167</v>
      </c>
      <c r="Z14" s="6">
        <v>772607084</v>
      </c>
      <c r="AA14" s="2" t="s">
        <v>68</v>
      </c>
      <c r="AB14" s="7"/>
      <c r="AC14" s="2"/>
      <c r="AD14" s="7"/>
      <c r="AE14" s="7">
        <v>2.2000000000000002</v>
      </c>
      <c r="AF14" s="8"/>
      <c r="AG14" s="8"/>
    </row>
    <row r="15" spans="1:33" x14ac:dyDescent="0.25">
      <c r="A15" s="2" t="s">
        <v>157</v>
      </c>
      <c r="B15" s="3">
        <v>46251</v>
      </c>
      <c r="C15" s="3">
        <v>46254</v>
      </c>
      <c r="D15" s="2" t="s">
        <v>170</v>
      </c>
      <c r="E15" s="2" t="s">
        <v>159</v>
      </c>
      <c r="F15" s="2" t="s">
        <v>171</v>
      </c>
      <c r="G15" s="2" t="s">
        <v>58</v>
      </c>
      <c r="H15" s="2" t="s">
        <v>172</v>
      </c>
      <c r="I15" s="2" t="s">
        <v>162</v>
      </c>
      <c r="J15" s="2" t="s">
        <v>163</v>
      </c>
      <c r="K15" s="2" t="s">
        <v>164</v>
      </c>
      <c r="L15" s="2" t="s">
        <v>165</v>
      </c>
      <c r="M15" s="2" t="s">
        <v>77</v>
      </c>
      <c r="N15" s="2" t="s">
        <v>78</v>
      </c>
      <c r="O15" s="2"/>
      <c r="P15" s="2">
        <v>10</v>
      </c>
      <c r="Q15" s="2" t="s">
        <v>46</v>
      </c>
      <c r="R15" s="4">
        <v>5.39</v>
      </c>
      <c r="S15" s="5">
        <v>5.39</v>
      </c>
      <c r="T15" s="5">
        <v>53.9</v>
      </c>
      <c r="U15" s="2" t="s">
        <v>67</v>
      </c>
      <c r="V15" s="3">
        <v>46254</v>
      </c>
      <c r="W15" s="2" t="s">
        <v>166</v>
      </c>
      <c r="X15" s="2"/>
      <c r="Y15" s="2" t="s">
        <v>167</v>
      </c>
      <c r="Z15" s="6">
        <v>772607146</v>
      </c>
      <c r="AA15" s="2" t="s">
        <v>68</v>
      </c>
      <c r="AB15" s="7"/>
      <c r="AC15" s="2"/>
      <c r="AD15" s="7"/>
      <c r="AE15" s="7">
        <v>2.2000000000000002</v>
      </c>
      <c r="AF15" s="8"/>
      <c r="AG15" s="8"/>
    </row>
    <row r="16" spans="1:33" x14ac:dyDescent="0.25">
      <c r="A16" s="2" t="s">
        <v>157</v>
      </c>
      <c r="B16" s="3">
        <v>46251</v>
      </c>
      <c r="C16" s="3">
        <v>46254</v>
      </c>
      <c r="D16" s="2" t="s">
        <v>170</v>
      </c>
      <c r="E16" s="2" t="s">
        <v>159</v>
      </c>
      <c r="F16" s="2" t="s">
        <v>171</v>
      </c>
      <c r="G16" s="2" t="s">
        <v>58</v>
      </c>
      <c r="H16" s="2" t="s">
        <v>172</v>
      </c>
      <c r="I16" s="2" t="s">
        <v>168</v>
      </c>
      <c r="J16" s="2" t="s">
        <v>163</v>
      </c>
      <c r="K16" s="2" t="s">
        <v>164</v>
      </c>
      <c r="L16" s="2" t="s">
        <v>165</v>
      </c>
      <c r="M16" s="2" t="s">
        <v>138</v>
      </c>
      <c r="N16" s="2" t="s">
        <v>169</v>
      </c>
      <c r="O16" s="2"/>
      <c r="P16" s="2">
        <v>6</v>
      </c>
      <c r="Q16" s="2" t="s">
        <v>46</v>
      </c>
      <c r="R16" s="4">
        <v>5.39</v>
      </c>
      <c r="S16" s="5">
        <v>5.39</v>
      </c>
      <c r="T16" s="5">
        <v>32.339999999999996</v>
      </c>
      <c r="U16" s="2" t="s">
        <v>67</v>
      </c>
      <c r="V16" s="3">
        <v>46254</v>
      </c>
      <c r="W16" s="2" t="s">
        <v>166</v>
      </c>
      <c r="X16" s="2"/>
      <c r="Y16" s="2" t="s">
        <v>167</v>
      </c>
      <c r="Z16" s="6">
        <v>772607147</v>
      </c>
      <c r="AA16" s="2" t="s">
        <v>68</v>
      </c>
      <c r="AB16" s="7"/>
      <c r="AC16" s="2"/>
      <c r="AD16" s="7"/>
      <c r="AE16" s="7">
        <v>2.2000000000000002</v>
      </c>
      <c r="AF16" s="8"/>
      <c r="AG16" s="8"/>
    </row>
    <row r="17" spans="1:33" x14ac:dyDescent="0.25">
      <c r="A17" s="2" t="s">
        <v>91</v>
      </c>
      <c r="B17" s="3">
        <v>46235</v>
      </c>
      <c r="C17" s="3">
        <v>46253</v>
      </c>
      <c r="D17" s="2" t="s">
        <v>173</v>
      </c>
      <c r="E17" s="2" t="s">
        <v>174</v>
      </c>
      <c r="F17" s="2" t="s">
        <v>72</v>
      </c>
      <c r="G17" s="2" t="s">
        <v>37</v>
      </c>
      <c r="H17" s="2" t="s">
        <v>116</v>
      </c>
      <c r="I17" s="2" t="s">
        <v>175</v>
      </c>
      <c r="J17" s="2" t="s">
        <v>176</v>
      </c>
      <c r="K17" s="2" t="s">
        <v>177</v>
      </c>
      <c r="L17" s="2" t="s">
        <v>178</v>
      </c>
      <c r="M17" s="2" t="s">
        <v>77</v>
      </c>
      <c r="N17" s="2" t="s">
        <v>78</v>
      </c>
      <c r="O17" s="2" t="s">
        <v>179</v>
      </c>
      <c r="P17" s="2">
        <v>4</v>
      </c>
      <c r="Q17" s="2" t="s">
        <v>46</v>
      </c>
      <c r="R17" s="4">
        <v>6.6</v>
      </c>
      <c r="S17" s="5">
        <v>6.6</v>
      </c>
      <c r="T17" s="5" t="s">
        <v>47</v>
      </c>
      <c r="U17" s="2" t="s">
        <v>48</v>
      </c>
      <c r="V17" s="3">
        <v>46254</v>
      </c>
      <c r="W17" s="2" t="s">
        <v>166</v>
      </c>
      <c r="X17" s="2"/>
      <c r="Y17" s="2" t="s">
        <v>180</v>
      </c>
      <c r="Z17" s="6">
        <v>842605201</v>
      </c>
      <c r="AA17" s="2" t="s">
        <v>51</v>
      </c>
      <c r="AB17" s="7" t="s">
        <v>52</v>
      </c>
      <c r="AC17" s="2" t="s">
        <v>181</v>
      </c>
      <c r="AD17" s="7" t="s">
        <v>182</v>
      </c>
      <c r="AE17" s="7">
        <v>6.1</v>
      </c>
      <c r="AF17" s="8"/>
      <c r="AG17" s="8"/>
    </row>
    <row r="18" spans="1:33" x14ac:dyDescent="0.25">
      <c r="A18" s="2" t="s">
        <v>55</v>
      </c>
      <c r="B18" s="3">
        <v>46235</v>
      </c>
      <c r="C18" s="3">
        <v>46252</v>
      </c>
      <c r="D18" s="2" t="s">
        <v>183</v>
      </c>
      <c r="E18" s="2" t="s">
        <v>174</v>
      </c>
      <c r="F18" s="2" t="s">
        <v>184</v>
      </c>
      <c r="G18" s="2" t="s">
        <v>58</v>
      </c>
      <c r="H18" s="2" t="s">
        <v>73</v>
      </c>
      <c r="I18" s="2" t="s">
        <v>185</v>
      </c>
      <c r="J18" s="2" t="s">
        <v>186</v>
      </c>
      <c r="K18" s="2"/>
      <c r="L18" s="2" t="s">
        <v>187</v>
      </c>
      <c r="M18" s="2" t="s">
        <v>188</v>
      </c>
      <c r="N18" s="2" t="s">
        <v>189</v>
      </c>
      <c r="O18" s="2" t="s">
        <v>179</v>
      </c>
      <c r="P18" s="2">
        <v>6</v>
      </c>
      <c r="Q18" s="2" t="s">
        <v>46</v>
      </c>
      <c r="R18" s="4">
        <v>4.58</v>
      </c>
      <c r="S18" s="5">
        <v>4.58</v>
      </c>
      <c r="T18" s="5" t="s">
        <v>47</v>
      </c>
      <c r="U18" s="2" t="s">
        <v>48</v>
      </c>
      <c r="V18" s="3">
        <v>46254</v>
      </c>
      <c r="W18" s="2" t="s">
        <v>166</v>
      </c>
      <c r="X18" s="2" t="s">
        <v>190</v>
      </c>
      <c r="Y18" s="2" t="s">
        <v>180</v>
      </c>
      <c r="Z18" s="6">
        <v>842605207</v>
      </c>
      <c r="AA18" s="2" t="s">
        <v>68</v>
      </c>
      <c r="AB18" s="7"/>
      <c r="AC18" s="2"/>
      <c r="AD18" s="7"/>
      <c r="AE18" s="7">
        <v>5.4</v>
      </c>
      <c r="AF18" s="8"/>
      <c r="AG18" s="8"/>
    </row>
    <row r="19" spans="1:33" x14ac:dyDescent="0.25">
      <c r="A19" s="2" t="s">
        <v>55</v>
      </c>
      <c r="B19" s="3">
        <v>46235</v>
      </c>
      <c r="C19" s="3">
        <v>46252</v>
      </c>
      <c r="D19" s="2" t="s">
        <v>191</v>
      </c>
      <c r="E19" s="2" t="s">
        <v>174</v>
      </c>
      <c r="F19" s="2" t="s">
        <v>184</v>
      </c>
      <c r="G19" s="2" t="s">
        <v>58</v>
      </c>
      <c r="H19" s="2" t="s">
        <v>172</v>
      </c>
      <c r="I19" s="2" t="s">
        <v>185</v>
      </c>
      <c r="J19" s="2" t="s">
        <v>186</v>
      </c>
      <c r="K19" s="2"/>
      <c r="L19" s="2" t="s">
        <v>187</v>
      </c>
      <c r="M19" s="2" t="s">
        <v>188</v>
      </c>
      <c r="N19" s="2" t="s">
        <v>189</v>
      </c>
      <c r="O19" s="2" t="s">
        <v>192</v>
      </c>
      <c r="P19" s="2">
        <v>7</v>
      </c>
      <c r="Q19" s="2" t="s">
        <v>46</v>
      </c>
      <c r="R19" s="4">
        <v>4.58</v>
      </c>
      <c r="S19" s="5">
        <v>4.58</v>
      </c>
      <c r="T19" s="5" t="s">
        <v>47</v>
      </c>
      <c r="U19" s="2" t="s">
        <v>48</v>
      </c>
      <c r="V19" s="3">
        <v>46254</v>
      </c>
      <c r="W19" s="2" t="s">
        <v>166</v>
      </c>
      <c r="X19" s="2" t="s">
        <v>190</v>
      </c>
      <c r="Y19" s="2" t="s">
        <v>180</v>
      </c>
      <c r="Z19" s="6">
        <v>842605217</v>
      </c>
      <c r="AA19" s="2" t="s">
        <v>68</v>
      </c>
      <c r="AB19" s="7"/>
      <c r="AC19" s="2"/>
      <c r="AD19" s="7"/>
      <c r="AE19" s="7">
        <v>5.4</v>
      </c>
      <c r="AF19" s="8"/>
      <c r="AG19" s="8"/>
    </row>
    <row r="20" spans="1:33" x14ac:dyDescent="0.25">
      <c r="A20" s="2" t="s">
        <v>193</v>
      </c>
      <c r="B20" s="3">
        <v>46237</v>
      </c>
      <c r="C20" s="3">
        <v>46253</v>
      </c>
      <c r="D20" s="2" t="s">
        <v>194</v>
      </c>
      <c r="E20" s="2" t="s">
        <v>174</v>
      </c>
      <c r="F20" s="2" t="s">
        <v>195</v>
      </c>
      <c r="G20" s="2" t="s">
        <v>37</v>
      </c>
      <c r="H20" s="2" t="s">
        <v>116</v>
      </c>
      <c r="I20" s="2" t="s">
        <v>196</v>
      </c>
      <c r="J20" s="2" t="s">
        <v>197</v>
      </c>
      <c r="K20" s="2" t="s">
        <v>198</v>
      </c>
      <c r="L20" s="2" t="s">
        <v>199</v>
      </c>
      <c r="M20" s="2" t="s">
        <v>200</v>
      </c>
      <c r="N20" s="2" t="s">
        <v>201</v>
      </c>
      <c r="O20" s="2" t="s">
        <v>179</v>
      </c>
      <c r="P20" s="2">
        <v>3</v>
      </c>
      <c r="Q20" s="2" t="s">
        <v>46</v>
      </c>
      <c r="R20" s="4">
        <v>4.9800000000000004</v>
      </c>
      <c r="S20" s="5">
        <v>4.9800000000000004</v>
      </c>
      <c r="T20" s="5" t="s">
        <v>47</v>
      </c>
      <c r="U20" s="2" t="s">
        <v>48</v>
      </c>
      <c r="V20" s="3">
        <v>46254</v>
      </c>
      <c r="W20" s="2" t="s">
        <v>166</v>
      </c>
      <c r="X20" s="2"/>
      <c r="Y20" s="2" t="s">
        <v>180</v>
      </c>
      <c r="Z20" s="6">
        <v>842605285</v>
      </c>
      <c r="AA20" s="2" t="s">
        <v>51</v>
      </c>
      <c r="AB20" s="7" t="s">
        <v>52</v>
      </c>
      <c r="AC20" s="2">
        <v>1</v>
      </c>
      <c r="AD20" s="7" t="s">
        <v>202</v>
      </c>
      <c r="AE20" s="7">
        <v>4.3</v>
      </c>
      <c r="AF20" s="8"/>
      <c r="AG20" s="8"/>
    </row>
    <row r="21" spans="1:33" x14ac:dyDescent="0.25">
      <c r="A21" s="2" t="s">
        <v>203</v>
      </c>
      <c r="B21" s="3">
        <v>46239</v>
      </c>
      <c r="C21" s="3">
        <v>46255</v>
      </c>
      <c r="D21" s="2" t="s">
        <v>204</v>
      </c>
      <c r="E21" s="2" t="s">
        <v>174</v>
      </c>
      <c r="F21" s="2" t="s">
        <v>205</v>
      </c>
      <c r="G21" s="2" t="s">
        <v>106</v>
      </c>
      <c r="H21" s="2" t="s">
        <v>206</v>
      </c>
      <c r="I21" s="2" t="s">
        <v>207</v>
      </c>
      <c r="J21" s="2" t="s">
        <v>208</v>
      </c>
      <c r="K21" s="2"/>
      <c r="L21" s="2" t="s">
        <v>199</v>
      </c>
      <c r="M21" s="2" t="s">
        <v>209</v>
      </c>
      <c r="N21" s="2" t="s">
        <v>210</v>
      </c>
      <c r="O21" s="2" t="s">
        <v>211</v>
      </c>
      <c r="P21" s="2">
        <v>12</v>
      </c>
      <c r="Q21" s="2" t="s">
        <v>46</v>
      </c>
      <c r="R21" s="4">
        <v>4.9800000000000004</v>
      </c>
      <c r="S21" s="5">
        <v>4.9800000000000004</v>
      </c>
      <c r="T21" s="5">
        <v>59.760000000000005</v>
      </c>
      <c r="U21" s="2" t="s">
        <v>67</v>
      </c>
      <c r="V21" s="3">
        <v>46254</v>
      </c>
      <c r="W21" s="2" t="s">
        <v>166</v>
      </c>
      <c r="X21" s="2"/>
      <c r="Y21" s="2" t="s">
        <v>180</v>
      </c>
      <c r="Z21" s="6">
        <v>842605334</v>
      </c>
      <c r="AA21" s="2" t="s">
        <v>68</v>
      </c>
      <c r="AB21" s="7"/>
      <c r="AC21" s="2"/>
      <c r="AD21" s="7"/>
      <c r="AE21" s="7">
        <v>4.4000000000000004</v>
      </c>
      <c r="AF21" s="8"/>
      <c r="AG21" s="8"/>
    </row>
    <row r="22" spans="1:33" x14ac:dyDescent="0.25">
      <c r="A22" s="2" t="s">
        <v>203</v>
      </c>
      <c r="B22" s="3">
        <v>46249</v>
      </c>
      <c r="C22" s="3">
        <v>46266</v>
      </c>
      <c r="D22" s="2" t="s">
        <v>212</v>
      </c>
      <c r="E22" s="2" t="s">
        <v>174</v>
      </c>
      <c r="F22" s="2" t="s">
        <v>195</v>
      </c>
      <c r="G22" s="2" t="s">
        <v>106</v>
      </c>
      <c r="H22" s="2" t="s">
        <v>213</v>
      </c>
      <c r="I22" s="2" t="s">
        <v>214</v>
      </c>
      <c r="J22" s="2" t="s">
        <v>215</v>
      </c>
      <c r="K22" s="2"/>
      <c r="L22" s="2" t="s">
        <v>199</v>
      </c>
      <c r="M22" s="2" t="s">
        <v>77</v>
      </c>
      <c r="N22" s="2" t="s">
        <v>78</v>
      </c>
      <c r="O22" s="2" t="s">
        <v>211</v>
      </c>
      <c r="P22" s="2">
        <v>4</v>
      </c>
      <c r="Q22" s="2" t="s">
        <v>46</v>
      </c>
      <c r="R22" s="4">
        <v>4.9800000000000004</v>
      </c>
      <c r="S22" s="5">
        <v>4.9800000000000004</v>
      </c>
      <c r="T22" s="5" t="s">
        <v>47</v>
      </c>
      <c r="U22" s="2" t="s">
        <v>48</v>
      </c>
      <c r="V22" s="3">
        <v>46254</v>
      </c>
      <c r="W22" s="2" t="s">
        <v>166</v>
      </c>
      <c r="X22" s="2"/>
      <c r="Y22" s="2" t="s">
        <v>180</v>
      </c>
      <c r="Z22" s="6">
        <v>842605616</v>
      </c>
      <c r="AA22" s="2" t="s">
        <v>68</v>
      </c>
      <c r="AB22" s="7"/>
      <c r="AC22" s="2"/>
      <c r="AD22" s="7" t="s">
        <v>216</v>
      </c>
      <c r="AE22" s="7">
        <v>4.4000000000000004</v>
      </c>
      <c r="AF22" s="8"/>
      <c r="AG22" s="8"/>
    </row>
    <row r="23" spans="1:33" x14ac:dyDescent="0.25">
      <c r="A23" s="2" t="s">
        <v>217</v>
      </c>
      <c r="B23" s="3">
        <v>46251</v>
      </c>
      <c r="C23" s="3">
        <v>46266</v>
      </c>
      <c r="D23" s="2" t="s">
        <v>218</v>
      </c>
      <c r="E23" s="2" t="s">
        <v>174</v>
      </c>
      <c r="F23" s="2" t="s">
        <v>72</v>
      </c>
      <c r="G23" s="2" t="s">
        <v>106</v>
      </c>
      <c r="H23" s="2" t="s">
        <v>219</v>
      </c>
      <c r="I23" s="2" t="s">
        <v>220</v>
      </c>
      <c r="J23" s="2" t="s">
        <v>221</v>
      </c>
      <c r="K23" s="2"/>
      <c r="L23" s="2" t="s">
        <v>222</v>
      </c>
      <c r="M23" s="2" t="s">
        <v>223</v>
      </c>
      <c r="N23" s="2" t="s">
        <v>223</v>
      </c>
      <c r="O23" s="2" t="s">
        <v>224</v>
      </c>
      <c r="P23" s="2">
        <v>5</v>
      </c>
      <c r="Q23" s="2" t="s">
        <v>46</v>
      </c>
      <c r="R23" s="4">
        <v>1.1000000000000001</v>
      </c>
      <c r="S23" s="5">
        <v>1.1000000000000001</v>
      </c>
      <c r="T23" s="5" t="s">
        <v>47</v>
      </c>
      <c r="U23" s="2" t="s">
        <v>48</v>
      </c>
      <c r="V23" s="3">
        <v>46254</v>
      </c>
      <c r="W23" s="2" t="s">
        <v>166</v>
      </c>
      <c r="X23" s="2"/>
      <c r="Y23" s="2" t="s">
        <v>180</v>
      </c>
      <c r="Z23" s="6">
        <v>842605654</v>
      </c>
      <c r="AA23" s="2" t="s">
        <v>68</v>
      </c>
      <c r="AB23" s="7"/>
      <c r="AC23" s="2"/>
      <c r="AD23" s="7"/>
      <c r="AE23" s="7">
        <v>5.0999999999999996</v>
      </c>
      <c r="AF23" s="8"/>
      <c r="AG23" s="8"/>
    </row>
    <row r="24" spans="1:33" x14ac:dyDescent="0.25">
      <c r="A24" s="2" t="s">
        <v>225</v>
      </c>
      <c r="B24" s="3">
        <v>46252</v>
      </c>
      <c r="C24" s="3">
        <v>46266</v>
      </c>
      <c r="D24" s="2" t="s">
        <v>226</v>
      </c>
      <c r="E24" s="2" t="s">
        <v>174</v>
      </c>
      <c r="F24" s="2" t="s">
        <v>227</v>
      </c>
      <c r="G24" s="2" t="s">
        <v>106</v>
      </c>
      <c r="H24" s="2" t="s">
        <v>107</v>
      </c>
      <c r="I24" s="2" t="s">
        <v>228</v>
      </c>
      <c r="J24" s="2" t="s">
        <v>229</v>
      </c>
      <c r="K24" s="2"/>
      <c r="L24" s="2" t="s">
        <v>230</v>
      </c>
      <c r="M24" s="2" t="s">
        <v>231</v>
      </c>
      <c r="N24" s="2" t="s">
        <v>232</v>
      </c>
      <c r="O24" s="2" t="s">
        <v>233</v>
      </c>
      <c r="P24" s="2">
        <v>3</v>
      </c>
      <c r="Q24" s="2" t="s">
        <v>46</v>
      </c>
      <c r="R24" s="4">
        <v>1.3</v>
      </c>
      <c r="S24" s="5">
        <v>1.3</v>
      </c>
      <c r="T24" s="5" t="s">
        <v>47</v>
      </c>
      <c r="U24" s="2" t="s">
        <v>48</v>
      </c>
      <c r="V24" s="3">
        <v>46254</v>
      </c>
      <c r="W24" s="2" t="s">
        <v>166</v>
      </c>
      <c r="X24" s="2"/>
      <c r="Y24" s="2" t="s">
        <v>180</v>
      </c>
      <c r="Z24" s="6">
        <v>842605720</v>
      </c>
      <c r="AA24" s="2" t="s">
        <v>68</v>
      </c>
      <c r="AB24" s="7"/>
      <c r="AC24" s="2"/>
      <c r="AD24" s="7"/>
      <c r="AE24" s="7">
        <v>5.3</v>
      </c>
      <c r="AF24" s="8"/>
      <c r="AG24" s="8"/>
    </row>
    <row r="25" spans="1:33" x14ac:dyDescent="0.25">
      <c r="A25" s="2" t="s">
        <v>225</v>
      </c>
      <c r="B25" s="3">
        <v>46252</v>
      </c>
      <c r="C25" s="3">
        <v>46266</v>
      </c>
      <c r="D25" s="2" t="s">
        <v>226</v>
      </c>
      <c r="E25" s="2" t="s">
        <v>174</v>
      </c>
      <c r="F25" s="2" t="s">
        <v>227</v>
      </c>
      <c r="G25" s="2" t="s">
        <v>106</v>
      </c>
      <c r="H25" s="2" t="s">
        <v>107</v>
      </c>
      <c r="I25" s="2" t="s">
        <v>234</v>
      </c>
      <c r="J25" s="2" t="s">
        <v>229</v>
      </c>
      <c r="K25" s="2"/>
      <c r="L25" s="2" t="s">
        <v>230</v>
      </c>
      <c r="M25" s="2" t="s">
        <v>77</v>
      </c>
      <c r="N25" s="2" t="s">
        <v>78</v>
      </c>
      <c r="O25" s="2" t="s">
        <v>233</v>
      </c>
      <c r="P25" s="2">
        <v>3</v>
      </c>
      <c r="Q25" s="2" t="s">
        <v>46</v>
      </c>
      <c r="R25" s="4">
        <v>1.3</v>
      </c>
      <c r="S25" s="5">
        <v>1.3</v>
      </c>
      <c r="T25" s="5" t="s">
        <v>47</v>
      </c>
      <c r="U25" s="2" t="s">
        <v>48</v>
      </c>
      <c r="V25" s="3">
        <v>46254</v>
      </c>
      <c r="W25" s="2" t="s">
        <v>166</v>
      </c>
      <c r="X25" s="2"/>
      <c r="Y25" s="2" t="s">
        <v>180</v>
      </c>
      <c r="Z25" s="6">
        <v>842605721</v>
      </c>
      <c r="AA25" s="2" t="s">
        <v>68</v>
      </c>
      <c r="AB25" s="7"/>
      <c r="AC25" s="2"/>
      <c r="AD25" s="7"/>
      <c r="AE25" s="7">
        <v>5.3</v>
      </c>
      <c r="AF25" s="8"/>
      <c r="AG25" s="8"/>
    </row>
    <row r="26" spans="1:33" x14ac:dyDescent="0.25">
      <c r="A26" s="2" t="s">
        <v>225</v>
      </c>
      <c r="B26" s="3">
        <v>46252</v>
      </c>
      <c r="C26" s="3">
        <v>46266</v>
      </c>
      <c r="D26" s="2" t="s">
        <v>226</v>
      </c>
      <c r="E26" s="2" t="s">
        <v>174</v>
      </c>
      <c r="F26" s="2" t="s">
        <v>227</v>
      </c>
      <c r="G26" s="2" t="s">
        <v>106</v>
      </c>
      <c r="H26" s="2" t="s">
        <v>107</v>
      </c>
      <c r="I26" s="2" t="s">
        <v>235</v>
      </c>
      <c r="J26" s="2" t="s">
        <v>229</v>
      </c>
      <c r="K26" s="2"/>
      <c r="L26" s="2" t="s">
        <v>230</v>
      </c>
      <c r="M26" s="2" t="s">
        <v>236</v>
      </c>
      <c r="N26" s="2" t="s">
        <v>237</v>
      </c>
      <c r="O26" s="2" t="s">
        <v>233</v>
      </c>
      <c r="P26" s="2">
        <v>3</v>
      </c>
      <c r="Q26" s="2" t="s">
        <v>46</v>
      </c>
      <c r="R26" s="4">
        <v>1.3</v>
      </c>
      <c r="S26" s="5">
        <v>1.3</v>
      </c>
      <c r="T26" s="5" t="s">
        <v>47</v>
      </c>
      <c r="U26" s="2" t="s">
        <v>48</v>
      </c>
      <c r="V26" s="3">
        <v>46254</v>
      </c>
      <c r="W26" s="2" t="s">
        <v>166</v>
      </c>
      <c r="X26" s="2"/>
      <c r="Y26" s="2" t="s">
        <v>180</v>
      </c>
      <c r="Z26" s="6">
        <v>842605722</v>
      </c>
      <c r="AA26" s="2" t="s">
        <v>68</v>
      </c>
      <c r="AB26" s="7"/>
      <c r="AC26" s="2"/>
      <c r="AD26" s="7"/>
      <c r="AE26" s="7">
        <v>5.3</v>
      </c>
      <c r="AF26" s="8"/>
      <c r="AG26" s="8"/>
    </row>
    <row r="27" spans="1:33" x14ac:dyDescent="0.25">
      <c r="A27" s="2" t="s">
        <v>225</v>
      </c>
      <c r="B27" s="3">
        <v>46252</v>
      </c>
      <c r="C27" s="3">
        <v>46266</v>
      </c>
      <c r="D27" s="2" t="s">
        <v>226</v>
      </c>
      <c r="E27" s="2" t="s">
        <v>174</v>
      </c>
      <c r="F27" s="2" t="s">
        <v>227</v>
      </c>
      <c r="G27" s="2" t="s">
        <v>106</v>
      </c>
      <c r="H27" s="2" t="s">
        <v>107</v>
      </c>
      <c r="I27" s="2" t="s">
        <v>228</v>
      </c>
      <c r="J27" s="2" t="s">
        <v>238</v>
      </c>
      <c r="K27" s="2"/>
      <c r="L27" s="2" t="s">
        <v>239</v>
      </c>
      <c r="M27" s="2" t="s">
        <v>231</v>
      </c>
      <c r="N27" s="2" t="s">
        <v>232</v>
      </c>
      <c r="O27" s="2" t="s">
        <v>233</v>
      </c>
      <c r="P27" s="2">
        <v>3</v>
      </c>
      <c r="Q27" s="2" t="s">
        <v>46</v>
      </c>
      <c r="R27" s="4">
        <v>1.33</v>
      </c>
      <c r="S27" s="5">
        <v>1.33</v>
      </c>
      <c r="T27" s="5" t="s">
        <v>47</v>
      </c>
      <c r="U27" s="2" t="s">
        <v>48</v>
      </c>
      <c r="V27" s="3">
        <v>46254</v>
      </c>
      <c r="W27" s="2" t="s">
        <v>166</v>
      </c>
      <c r="X27" s="2"/>
      <c r="Y27" s="2" t="s">
        <v>180</v>
      </c>
      <c r="Z27" s="6">
        <v>842605723</v>
      </c>
      <c r="AA27" s="2" t="s">
        <v>68</v>
      </c>
      <c r="AB27" s="7"/>
      <c r="AC27" s="2"/>
      <c r="AD27" s="7"/>
      <c r="AE27" s="7">
        <v>5.3</v>
      </c>
      <c r="AF27" s="8"/>
      <c r="AG27" s="8"/>
    </row>
    <row r="28" spans="1:33" x14ac:dyDescent="0.25">
      <c r="A28" s="2" t="s">
        <v>225</v>
      </c>
      <c r="B28" s="3">
        <v>46252</v>
      </c>
      <c r="C28" s="3">
        <v>46266</v>
      </c>
      <c r="D28" s="2" t="s">
        <v>226</v>
      </c>
      <c r="E28" s="2" t="s">
        <v>174</v>
      </c>
      <c r="F28" s="2" t="s">
        <v>227</v>
      </c>
      <c r="G28" s="2" t="s">
        <v>106</v>
      </c>
      <c r="H28" s="2" t="s">
        <v>107</v>
      </c>
      <c r="I28" s="2" t="s">
        <v>234</v>
      </c>
      <c r="J28" s="2" t="s">
        <v>238</v>
      </c>
      <c r="K28" s="2"/>
      <c r="L28" s="2" t="s">
        <v>239</v>
      </c>
      <c r="M28" s="2" t="s">
        <v>77</v>
      </c>
      <c r="N28" s="2" t="s">
        <v>78</v>
      </c>
      <c r="O28" s="2" t="s">
        <v>233</v>
      </c>
      <c r="P28" s="2">
        <v>3</v>
      </c>
      <c r="Q28" s="2" t="s">
        <v>46</v>
      </c>
      <c r="R28" s="4">
        <v>1.33</v>
      </c>
      <c r="S28" s="5">
        <v>1.33</v>
      </c>
      <c r="T28" s="5" t="s">
        <v>47</v>
      </c>
      <c r="U28" s="2" t="s">
        <v>48</v>
      </c>
      <c r="V28" s="3">
        <v>46254</v>
      </c>
      <c r="W28" s="2" t="s">
        <v>166</v>
      </c>
      <c r="X28" s="2"/>
      <c r="Y28" s="2" t="s">
        <v>180</v>
      </c>
      <c r="Z28" s="6">
        <v>842605724</v>
      </c>
      <c r="AA28" s="2" t="s">
        <v>68</v>
      </c>
      <c r="AB28" s="7"/>
      <c r="AC28" s="2"/>
      <c r="AD28" s="7"/>
      <c r="AE28" s="7">
        <v>5.3</v>
      </c>
      <c r="AF28" s="8"/>
      <c r="AG28" s="8"/>
    </row>
    <row r="29" spans="1:33" x14ac:dyDescent="0.25">
      <c r="A29" s="2" t="s">
        <v>225</v>
      </c>
      <c r="B29" s="3">
        <v>46252</v>
      </c>
      <c r="C29" s="3">
        <v>46266</v>
      </c>
      <c r="D29" s="2" t="s">
        <v>226</v>
      </c>
      <c r="E29" s="2" t="s">
        <v>174</v>
      </c>
      <c r="F29" s="2" t="s">
        <v>227</v>
      </c>
      <c r="G29" s="2" t="s">
        <v>106</v>
      </c>
      <c r="H29" s="2" t="s">
        <v>107</v>
      </c>
      <c r="I29" s="2" t="s">
        <v>235</v>
      </c>
      <c r="J29" s="2" t="s">
        <v>238</v>
      </c>
      <c r="K29" s="2"/>
      <c r="L29" s="2" t="s">
        <v>239</v>
      </c>
      <c r="M29" s="2" t="s">
        <v>236</v>
      </c>
      <c r="N29" s="2" t="s">
        <v>237</v>
      </c>
      <c r="O29" s="2" t="s">
        <v>233</v>
      </c>
      <c r="P29" s="2">
        <v>3</v>
      </c>
      <c r="Q29" s="2" t="s">
        <v>46</v>
      </c>
      <c r="R29" s="4">
        <v>1.33</v>
      </c>
      <c r="S29" s="5">
        <v>1.33</v>
      </c>
      <c r="T29" s="5" t="s">
        <v>47</v>
      </c>
      <c r="U29" s="2" t="s">
        <v>48</v>
      </c>
      <c r="V29" s="3">
        <v>46254</v>
      </c>
      <c r="W29" s="2" t="s">
        <v>166</v>
      </c>
      <c r="X29" s="2"/>
      <c r="Y29" s="2" t="s">
        <v>180</v>
      </c>
      <c r="Z29" s="6">
        <v>842605725</v>
      </c>
      <c r="AA29" s="2" t="s">
        <v>68</v>
      </c>
      <c r="AB29" s="7"/>
      <c r="AC29" s="2"/>
      <c r="AD29" s="7"/>
      <c r="AE29" s="7">
        <v>5.3</v>
      </c>
      <c r="AF29" s="8"/>
      <c r="AG29" s="8"/>
    </row>
    <row r="30" spans="1:33" x14ac:dyDescent="0.25">
      <c r="A30" s="2" t="s">
        <v>225</v>
      </c>
      <c r="B30" s="3">
        <v>46252</v>
      </c>
      <c r="C30" s="3">
        <v>46266</v>
      </c>
      <c r="D30" s="2" t="s">
        <v>226</v>
      </c>
      <c r="E30" s="2" t="s">
        <v>174</v>
      </c>
      <c r="F30" s="2" t="s">
        <v>227</v>
      </c>
      <c r="G30" s="2" t="s">
        <v>106</v>
      </c>
      <c r="H30" s="2" t="s">
        <v>107</v>
      </c>
      <c r="I30" s="2" t="s">
        <v>228</v>
      </c>
      <c r="J30" s="2" t="s">
        <v>240</v>
      </c>
      <c r="K30" s="2"/>
      <c r="L30" s="2" t="s">
        <v>241</v>
      </c>
      <c r="M30" s="2" t="s">
        <v>231</v>
      </c>
      <c r="N30" s="2" t="s">
        <v>232</v>
      </c>
      <c r="O30" s="2" t="s">
        <v>233</v>
      </c>
      <c r="P30" s="2">
        <v>3</v>
      </c>
      <c r="Q30" s="2" t="s">
        <v>46</v>
      </c>
      <c r="R30" s="4">
        <v>4.82</v>
      </c>
      <c r="S30" s="5">
        <v>4.82</v>
      </c>
      <c r="T30" s="5" t="s">
        <v>47</v>
      </c>
      <c r="U30" s="2" t="s">
        <v>48</v>
      </c>
      <c r="V30" s="3">
        <v>46254</v>
      </c>
      <c r="W30" s="2" t="s">
        <v>166</v>
      </c>
      <c r="X30" s="2"/>
      <c r="Y30" s="2" t="s">
        <v>180</v>
      </c>
      <c r="Z30" s="6">
        <v>842605726</v>
      </c>
      <c r="AA30" s="2" t="s">
        <v>68</v>
      </c>
      <c r="AB30" s="7"/>
      <c r="AC30" s="2"/>
      <c r="AD30" s="7"/>
      <c r="AE30" s="7">
        <v>5.3</v>
      </c>
      <c r="AF30" s="8"/>
      <c r="AG30" s="8"/>
    </row>
    <row r="31" spans="1:33" x14ac:dyDescent="0.25">
      <c r="A31" s="2" t="s">
        <v>225</v>
      </c>
      <c r="B31" s="3">
        <v>46252</v>
      </c>
      <c r="C31" s="3">
        <v>46266</v>
      </c>
      <c r="D31" s="2" t="s">
        <v>226</v>
      </c>
      <c r="E31" s="2" t="s">
        <v>174</v>
      </c>
      <c r="F31" s="2" t="s">
        <v>227</v>
      </c>
      <c r="G31" s="2" t="s">
        <v>106</v>
      </c>
      <c r="H31" s="2" t="s">
        <v>107</v>
      </c>
      <c r="I31" s="2" t="s">
        <v>234</v>
      </c>
      <c r="J31" s="2" t="s">
        <v>240</v>
      </c>
      <c r="K31" s="2"/>
      <c r="L31" s="2" t="s">
        <v>241</v>
      </c>
      <c r="M31" s="2" t="s">
        <v>77</v>
      </c>
      <c r="N31" s="2" t="s">
        <v>78</v>
      </c>
      <c r="O31" s="2" t="s">
        <v>233</v>
      </c>
      <c r="P31" s="2">
        <v>3</v>
      </c>
      <c r="Q31" s="2" t="s">
        <v>46</v>
      </c>
      <c r="R31" s="4">
        <v>4.82</v>
      </c>
      <c r="S31" s="5">
        <v>4.82</v>
      </c>
      <c r="T31" s="5" t="s">
        <v>47</v>
      </c>
      <c r="U31" s="2" t="s">
        <v>48</v>
      </c>
      <c r="V31" s="3">
        <v>46254</v>
      </c>
      <c r="W31" s="2" t="s">
        <v>166</v>
      </c>
      <c r="X31" s="2"/>
      <c r="Y31" s="2" t="s">
        <v>180</v>
      </c>
      <c r="Z31" s="6">
        <v>842605727</v>
      </c>
      <c r="AA31" s="2" t="s">
        <v>68</v>
      </c>
      <c r="AB31" s="7"/>
      <c r="AC31" s="2"/>
      <c r="AD31" s="7"/>
      <c r="AE31" s="7">
        <v>5.3</v>
      </c>
      <c r="AF31" s="8"/>
      <c r="AG31" s="8"/>
    </row>
    <row r="32" spans="1:33" x14ac:dyDescent="0.25">
      <c r="A32" s="2" t="s">
        <v>242</v>
      </c>
      <c r="B32" s="3">
        <v>46234</v>
      </c>
      <c r="C32" s="3">
        <v>46252</v>
      </c>
      <c r="D32" s="2" t="s">
        <v>243</v>
      </c>
      <c r="E32" s="2" t="s">
        <v>244</v>
      </c>
      <c r="F32" s="2" t="s">
        <v>245</v>
      </c>
      <c r="G32" s="2" t="s">
        <v>106</v>
      </c>
      <c r="H32" s="2" t="s">
        <v>219</v>
      </c>
      <c r="I32" s="2" t="s">
        <v>246</v>
      </c>
      <c r="J32" s="2" t="s">
        <v>247</v>
      </c>
      <c r="K32" s="2" t="s">
        <v>248</v>
      </c>
      <c r="L32" s="2" t="s">
        <v>249</v>
      </c>
      <c r="M32" s="2" t="s">
        <v>250</v>
      </c>
      <c r="N32" s="2" t="s">
        <v>251</v>
      </c>
      <c r="O32" s="2" t="s">
        <v>252</v>
      </c>
      <c r="P32" s="2">
        <v>40</v>
      </c>
      <c r="Q32" s="2" t="s">
        <v>253</v>
      </c>
      <c r="R32" s="4">
        <v>1.49</v>
      </c>
      <c r="S32" s="5">
        <v>1.49</v>
      </c>
      <c r="T32" s="5" t="s">
        <v>47</v>
      </c>
      <c r="U32" s="2" t="s">
        <v>48</v>
      </c>
      <c r="V32" s="3">
        <v>46254</v>
      </c>
      <c r="W32" s="2" t="s">
        <v>247</v>
      </c>
      <c r="X32" s="2" t="s">
        <v>254</v>
      </c>
      <c r="Y32" s="2" t="s">
        <v>255</v>
      </c>
      <c r="Z32" s="6">
        <v>742607025</v>
      </c>
      <c r="AA32" s="2" t="s">
        <v>51</v>
      </c>
      <c r="AB32" s="7" t="s">
        <v>52</v>
      </c>
      <c r="AC32" s="2" t="s">
        <v>256</v>
      </c>
      <c r="AD32" s="7" t="s">
        <v>257</v>
      </c>
      <c r="AE32" s="7"/>
      <c r="AF32" s="8"/>
      <c r="AG32" s="8"/>
    </row>
    <row r="33" spans="1:33" x14ac:dyDescent="0.25">
      <c r="A33" s="2" t="s">
        <v>55</v>
      </c>
      <c r="B33" s="3">
        <v>46234</v>
      </c>
      <c r="C33" s="3">
        <v>46252</v>
      </c>
      <c r="D33" s="2" t="s">
        <v>258</v>
      </c>
      <c r="E33" s="2" t="s">
        <v>244</v>
      </c>
      <c r="F33" s="2" t="s">
        <v>259</v>
      </c>
      <c r="G33" s="2" t="s">
        <v>106</v>
      </c>
      <c r="H33" s="2" t="s">
        <v>219</v>
      </c>
      <c r="I33" s="2" t="s">
        <v>260</v>
      </c>
      <c r="J33" s="2" t="s">
        <v>247</v>
      </c>
      <c r="K33" s="2" t="s">
        <v>261</v>
      </c>
      <c r="L33" s="2" t="s">
        <v>262</v>
      </c>
      <c r="M33" s="2" t="s">
        <v>263</v>
      </c>
      <c r="N33" s="2" t="s">
        <v>264</v>
      </c>
      <c r="O33" s="2" t="s">
        <v>265</v>
      </c>
      <c r="P33" s="2">
        <v>35</v>
      </c>
      <c r="Q33" s="2" t="s">
        <v>253</v>
      </c>
      <c r="R33" s="4">
        <v>1.73</v>
      </c>
      <c r="S33" s="5">
        <v>1.73</v>
      </c>
      <c r="T33" s="5" t="s">
        <v>47</v>
      </c>
      <c r="U33" s="2" t="s">
        <v>48</v>
      </c>
      <c r="V33" s="3">
        <v>46254</v>
      </c>
      <c r="W33" s="2" t="s">
        <v>247</v>
      </c>
      <c r="X33" s="2" t="s">
        <v>266</v>
      </c>
      <c r="Y33" s="2" t="s">
        <v>255</v>
      </c>
      <c r="Z33" s="6">
        <v>742607034</v>
      </c>
      <c r="AA33" s="2" t="s">
        <v>51</v>
      </c>
      <c r="AB33" s="7" t="s">
        <v>144</v>
      </c>
      <c r="AC33" s="2" t="s">
        <v>267</v>
      </c>
      <c r="AD33" s="7" t="s">
        <v>268</v>
      </c>
      <c r="AE33" s="7"/>
      <c r="AF33" s="8"/>
      <c r="AG33" s="8"/>
    </row>
    <row r="34" spans="1:33" x14ac:dyDescent="0.25">
      <c r="A34" s="2" t="s">
        <v>55</v>
      </c>
      <c r="B34" s="3">
        <v>46234</v>
      </c>
      <c r="C34" s="3">
        <v>46252</v>
      </c>
      <c r="D34" s="2" t="s">
        <v>258</v>
      </c>
      <c r="E34" s="2" t="s">
        <v>244</v>
      </c>
      <c r="F34" s="2" t="s">
        <v>259</v>
      </c>
      <c r="G34" s="2" t="s">
        <v>106</v>
      </c>
      <c r="H34" s="2" t="s">
        <v>219</v>
      </c>
      <c r="I34" s="2" t="s">
        <v>269</v>
      </c>
      <c r="J34" s="2" t="s">
        <v>247</v>
      </c>
      <c r="K34" s="2" t="s">
        <v>261</v>
      </c>
      <c r="L34" s="2" t="s">
        <v>262</v>
      </c>
      <c r="M34" s="2" t="s">
        <v>270</v>
      </c>
      <c r="N34" s="2" t="s">
        <v>271</v>
      </c>
      <c r="O34" s="2" t="s">
        <v>265</v>
      </c>
      <c r="P34" s="2">
        <v>35</v>
      </c>
      <c r="Q34" s="2" t="s">
        <v>253</v>
      </c>
      <c r="R34" s="4">
        <v>1.73</v>
      </c>
      <c r="S34" s="5">
        <v>1.73</v>
      </c>
      <c r="T34" s="5" t="s">
        <v>47</v>
      </c>
      <c r="U34" s="2" t="s">
        <v>48</v>
      </c>
      <c r="V34" s="3">
        <v>46254</v>
      </c>
      <c r="W34" s="2" t="s">
        <v>247</v>
      </c>
      <c r="X34" s="2" t="s">
        <v>272</v>
      </c>
      <c r="Y34" s="2" t="s">
        <v>255</v>
      </c>
      <c r="Z34" s="6">
        <v>742607035</v>
      </c>
      <c r="AA34" s="2" t="s">
        <v>51</v>
      </c>
      <c r="AB34" s="7" t="s">
        <v>144</v>
      </c>
      <c r="AC34" s="2" t="s">
        <v>267</v>
      </c>
      <c r="AD34" s="7" t="s">
        <v>268</v>
      </c>
      <c r="AE34" s="7"/>
      <c r="AF34" s="8"/>
      <c r="AG34" s="8"/>
    </row>
    <row r="35" spans="1:33" x14ac:dyDescent="0.25">
      <c r="A35" s="2" t="s">
        <v>55</v>
      </c>
      <c r="B35" s="3">
        <v>46241</v>
      </c>
      <c r="C35" s="3">
        <v>46252</v>
      </c>
      <c r="D35" s="2" t="s">
        <v>273</v>
      </c>
      <c r="E35" s="2" t="s">
        <v>274</v>
      </c>
      <c r="F35" s="2" t="s">
        <v>275</v>
      </c>
      <c r="G35" s="2" t="s">
        <v>58</v>
      </c>
      <c r="H35" s="2" t="s">
        <v>73</v>
      </c>
      <c r="I35" s="2" t="s">
        <v>185</v>
      </c>
      <c r="J35" s="2" t="s">
        <v>276</v>
      </c>
      <c r="K35" s="2"/>
      <c r="L35" s="2" t="s">
        <v>277</v>
      </c>
      <c r="M35" s="2" t="s">
        <v>278</v>
      </c>
      <c r="N35" s="2" t="s">
        <v>278</v>
      </c>
      <c r="O35" s="2" t="s">
        <v>279</v>
      </c>
      <c r="P35" s="2">
        <v>3</v>
      </c>
      <c r="Q35" s="2" t="s">
        <v>253</v>
      </c>
      <c r="R35" s="4">
        <v>0.13700000000000001</v>
      </c>
      <c r="S35" s="5">
        <v>0.13700000000000001</v>
      </c>
      <c r="T35" s="5">
        <v>0.41100000000000003</v>
      </c>
      <c r="U35" s="2" t="s">
        <v>67</v>
      </c>
      <c r="V35" s="3">
        <v>46254</v>
      </c>
      <c r="W35" s="2" t="s">
        <v>276</v>
      </c>
      <c r="X35" s="2"/>
      <c r="Y35" s="2" t="s">
        <v>255</v>
      </c>
      <c r="Z35" s="6">
        <v>742607195</v>
      </c>
      <c r="AA35" s="2" t="s">
        <v>68</v>
      </c>
      <c r="AB35" s="7"/>
      <c r="AC35" s="2"/>
      <c r="AD35" s="7"/>
      <c r="AE35" s="7"/>
      <c r="AF35" s="8"/>
      <c r="AG35" s="8"/>
    </row>
    <row r="36" spans="1:33" x14ac:dyDescent="0.25">
      <c r="A36" s="2" t="s">
        <v>55</v>
      </c>
      <c r="B36" s="3">
        <v>46241</v>
      </c>
      <c r="C36" s="3">
        <v>46252</v>
      </c>
      <c r="D36" s="2" t="s">
        <v>273</v>
      </c>
      <c r="E36" s="2" t="s">
        <v>274</v>
      </c>
      <c r="F36" s="2" t="s">
        <v>275</v>
      </c>
      <c r="G36" s="2" t="s">
        <v>58</v>
      </c>
      <c r="H36" s="2" t="s">
        <v>73</v>
      </c>
      <c r="I36" s="2" t="s">
        <v>185</v>
      </c>
      <c r="J36" s="2" t="s">
        <v>276</v>
      </c>
      <c r="K36" s="2"/>
      <c r="L36" s="2" t="s">
        <v>277</v>
      </c>
      <c r="M36" s="2" t="s">
        <v>278</v>
      </c>
      <c r="N36" s="2" t="s">
        <v>278</v>
      </c>
      <c r="O36" s="2" t="s">
        <v>280</v>
      </c>
      <c r="P36" s="2">
        <v>3</v>
      </c>
      <c r="Q36" s="2" t="s">
        <v>253</v>
      </c>
      <c r="R36" s="4">
        <v>0.13700000000000001</v>
      </c>
      <c r="S36" s="5">
        <v>0.13700000000000001</v>
      </c>
      <c r="T36" s="5">
        <v>0.41100000000000003</v>
      </c>
      <c r="U36" s="2" t="s">
        <v>67</v>
      </c>
      <c r="V36" s="3">
        <v>46254</v>
      </c>
      <c r="W36" s="2" t="s">
        <v>276</v>
      </c>
      <c r="X36" s="2"/>
      <c r="Y36" s="2" t="s">
        <v>255</v>
      </c>
      <c r="Z36" s="6">
        <v>742607196</v>
      </c>
      <c r="AA36" s="2" t="s">
        <v>68</v>
      </c>
      <c r="AB36" s="7"/>
      <c r="AC36" s="2"/>
      <c r="AD36" s="7"/>
      <c r="AE36" s="7"/>
      <c r="AF36" s="8"/>
      <c r="AG36" s="8"/>
    </row>
    <row r="37" spans="1:33" x14ac:dyDescent="0.25">
      <c r="A37" s="2" t="s">
        <v>55</v>
      </c>
      <c r="B37" s="3">
        <v>46241</v>
      </c>
      <c r="C37" s="3">
        <v>46252</v>
      </c>
      <c r="D37" s="2" t="s">
        <v>273</v>
      </c>
      <c r="E37" s="2" t="s">
        <v>274</v>
      </c>
      <c r="F37" s="2" t="s">
        <v>275</v>
      </c>
      <c r="G37" s="2" t="s">
        <v>58</v>
      </c>
      <c r="H37" s="2" t="s">
        <v>73</v>
      </c>
      <c r="I37" s="2" t="s">
        <v>185</v>
      </c>
      <c r="J37" s="2" t="s">
        <v>276</v>
      </c>
      <c r="K37" s="2"/>
      <c r="L37" s="2" t="s">
        <v>277</v>
      </c>
      <c r="M37" s="2" t="s">
        <v>278</v>
      </c>
      <c r="N37" s="2" t="s">
        <v>278</v>
      </c>
      <c r="O37" s="2" t="s">
        <v>281</v>
      </c>
      <c r="P37" s="2">
        <v>3</v>
      </c>
      <c r="Q37" s="2" t="s">
        <v>253</v>
      </c>
      <c r="R37" s="4">
        <v>0.13700000000000001</v>
      </c>
      <c r="S37" s="5">
        <v>0.13700000000000001</v>
      </c>
      <c r="T37" s="5">
        <v>0.41100000000000003</v>
      </c>
      <c r="U37" s="2" t="s">
        <v>67</v>
      </c>
      <c r="V37" s="3">
        <v>46254</v>
      </c>
      <c r="W37" s="2" t="s">
        <v>276</v>
      </c>
      <c r="X37" s="2"/>
      <c r="Y37" s="2" t="s">
        <v>255</v>
      </c>
      <c r="Z37" s="6">
        <v>742607197</v>
      </c>
      <c r="AA37" s="2" t="s">
        <v>68</v>
      </c>
      <c r="AB37" s="7"/>
      <c r="AC37" s="2"/>
      <c r="AD37" s="7"/>
      <c r="AE37" s="7"/>
      <c r="AF37" s="8"/>
      <c r="AG37" s="8"/>
    </row>
    <row r="38" spans="1:33" x14ac:dyDescent="0.25">
      <c r="A38" s="2" t="s">
        <v>55</v>
      </c>
      <c r="B38" s="3">
        <v>46241</v>
      </c>
      <c r="C38" s="3">
        <v>46252</v>
      </c>
      <c r="D38" s="2" t="s">
        <v>273</v>
      </c>
      <c r="E38" s="2" t="s">
        <v>274</v>
      </c>
      <c r="F38" s="2" t="s">
        <v>275</v>
      </c>
      <c r="G38" s="2" t="s">
        <v>58</v>
      </c>
      <c r="H38" s="2" t="s">
        <v>73</v>
      </c>
      <c r="I38" s="2" t="s">
        <v>185</v>
      </c>
      <c r="J38" s="2" t="s">
        <v>276</v>
      </c>
      <c r="K38" s="2"/>
      <c r="L38" s="2" t="s">
        <v>277</v>
      </c>
      <c r="M38" s="2" t="s">
        <v>278</v>
      </c>
      <c r="N38" s="2" t="s">
        <v>278</v>
      </c>
      <c r="O38" s="2" t="s">
        <v>282</v>
      </c>
      <c r="P38" s="2">
        <v>3</v>
      </c>
      <c r="Q38" s="2" t="s">
        <v>253</v>
      </c>
      <c r="R38" s="4">
        <v>0.13700000000000001</v>
      </c>
      <c r="S38" s="5">
        <v>0.13700000000000001</v>
      </c>
      <c r="T38" s="5">
        <v>0.41100000000000003</v>
      </c>
      <c r="U38" s="2" t="s">
        <v>67</v>
      </c>
      <c r="V38" s="3">
        <v>46254</v>
      </c>
      <c r="W38" s="2" t="s">
        <v>276</v>
      </c>
      <c r="X38" s="2"/>
      <c r="Y38" s="2" t="s">
        <v>255</v>
      </c>
      <c r="Z38" s="6">
        <v>742607198</v>
      </c>
      <c r="AA38" s="2" t="s">
        <v>68</v>
      </c>
      <c r="AB38" s="7"/>
      <c r="AC38" s="2"/>
      <c r="AD38" s="7"/>
      <c r="AE38" s="7"/>
      <c r="AF38" s="8"/>
      <c r="AG38" s="8"/>
    </row>
    <row r="39" spans="1:33" x14ac:dyDescent="0.25">
      <c r="A39" s="2" t="s">
        <v>55</v>
      </c>
      <c r="B39" s="3">
        <v>46241</v>
      </c>
      <c r="C39" s="3">
        <v>46252</v>
      </c>
      <c r="D39" s="2" t="s">
        <v>273</v>
      </c>
      <c r="E39" s="2" t="s">
        <v>274</v>
      </c>
      <c r="F39" s="2" t="s">
        <v>275</v>
      </c>
      <c r="G39" s="2" t="s">
        <v>58</v>
      </c>
      <c r="H39" s="2" t="s">
        <v>73</v>
      </c>
      <c r="I39" s="2" t="s">
        <v>185</v>
      </c>
      <c r="J39" s="2" t="s">
        <v>276</v>
      </c>
      <c r="K39" s="2"/>
      <c r="L39" s="2" t="s">
        <v>277</v>
      </c>
      <c r="M39" s="2" t="s">
        <v>278</v>
      </c>
      <c r="N39" s="2" t="s">
        <v>278</v>
      </c>
      <c r="O39" s="2" t="s">
        <v>283</v>
      </c>
      <c r="P39" s="2">
        <v>3</v>
      </c>
      <c r="Q39" s="2" t="s">
        <v>253</v>
      </c>
      <c r="R39" s="4">
        <v>0.13700000000000001</v>
      </c>
      <c r="S39" s="5">
        <v>0.13700000000000001</v>
      </c>
      <c r="T39" s="5">
        <v>0.41100000000000003</v>
      </c>
      <c r="U39" s="2" t="s">
        <v>67</v>
      </c>
      <c r="V39" s="3">
        <v>46254</v>
      </c>
      <c r="W39" s="2" t="s">
        <v>276</v>
      </c>
      <c r="X39" s="2"/>
      <c r="Y39" s="2" t="s">
        <v>255</v>
      </c>
      <c r="Z39" s="6">
        <v>742607199</v>
      </c>
      <c r="AA39" s="2" t="s">
        <v>68</v>
      </c>
      <c r="AB39" s="7"/>
      <c r="AC39" s="2"/>
      <c r="AD39" s="7"/>
      <c r="AE39" s="7"/>
      <c r="AF39" s="8"/>
      <c r="AG39" s="8"/>
    </row>
    <row r="40" spans="1:33" x14ac:dyDescent="0.25">
      <c r="A40" s="2" t="s">
        <v>284</v>
      </c>
      <c r="B40" s="3">
        <v>46244</v>
      </c>
      <c r="C40" s="3">
        <v>46256</v>
      </c>
      <c r="D40" s="2" t="s">
        <v>285</v>
      </c>
      <c r="E40" s="2" t="s">
        <v>244</v>
      </c>
      <c r="F40" s="2" t="s">
        <v>72</v>
      </c>
      <c r="G40" s="2" t="s">
        <v>106</v>
      </c>
      <c r="H40" s="2" t="s">
        <v>286</v>
      </c>
      <c r="I40" s="2" t="s">
        <v>287</v>
      </c>
      <c r="J40" s="2" t="s">
        <v>247</v>
      </c>
      <c r="K40" s="2"/>
      <c r="L40" s="2" t="s">
        <v>249</v>
      </c>
      <c r="M40" s="2" t="s">
        <v>288</v>
      </c>
      <c r="N40" s="2" t="s">
        <v>122</v>
      </c>
      <c r="O40" s="2" t="s">
        <v>179</v>
      </c>
      <c r="P40" s="2">
        <v>10</v>
      </c>
      <c r="Q40" s="2" t="s">
        <v>253</v>
      </c>
      <c r="R40" s="4">
        <v>1.67</v>
      </c>
      <c r="S40" s="5">
        <v>1.67</v>
      </c>
      <c r="T40" s="5">
        <v>16.7</v>
      </c>
      <c r="U40" s="2" t="s">
        <v>67</v>
      </c>
      <c r="V40" s="3">
        <v>46254</v>
      </c>
      <c r="W40" s="2" t="s">
        <v>247</v>
      </c>
      <c r="X40" s="2" t="s">
        <v>289</v>
      </c>
      <c r="Y40" s="2" t="s">
        <v>255</v>
      </c>
      <c r="Z40" s="6">
        <v>742607235</v>
      </c>
      <c r="AA40" s="2" t="s">
        <v>68</v>
      </c>
      <c r="AB40" s="7"/>
      <c r="AC40" s="2"/>
      <c r="AD40" s="7"/>
      <c r="AE40" s="7"/>
      <c r="AF40" s="8"/>
      <c r="AG40" s="8"/>
    </row>
    <row r="41" spans="1:33" x14ac:dyDescent="0.25">
      <c r="A41" s="2" t="s">
        <v>114</v>
      </c>
      <c r="B41" s="3">
        <v>46244</v>
      </c>
      <c r="C41" s="3">
        <v>46256</v>
      </c>
      <c r="D41" s="2" t="s">
        <v>290</v>
      </c>
      <c r="E41" s="2" t="s">
        <v>244</v>
      </c>
      <c r="F41" s="2" t="s">
        <v>72</v>
      </c>
      <c r="G41" s="2" t="s">
        <v>37</v>
      </c>
      <c r="H41" s="2" t="s">
        <v>116</v>
      </c>
      <c r="I41" s="2" t="s">
        <v>291</v>
      </c>
      <c r="J41" s="2" t="s">
        <v>247</v>
      </c>
      <c r="K41" s="2" t="s">
        <v>261</v>
      </c>
      <c r="L41" s="2" t="s">
        <v>249</v>
      </c>
      <c r="M41" s="2" t="s">
        <v>288</v>
      </c>
      <c r="N41" s="2" t="s">
        <v>122</v>
      </c>
      <c r="O41" s="2" t="s">
        <v>179</v>
      </c>
      <c r="P41" s="2">
        <v>14</v>
      </c>
      <c r="Q41" s="2" t="s">
        <v>253</v>
      </c>
      <c r="R41" s="4">
        <v>1.67</v>
      </c>
      <c r="S41" s="5">
        <v>1.67</v>
      </c>
      <c r="T41" s="5" t="s">
        <v>47</v>
      </c>
      <c r="U41" s="2" t="s">
        <v>48</v>
      </c>
      <c r="V41" s="3">
        <v>46254</v>
      </c>
      <c r="W41" s="2" t="s">
        <v>247</v>
      </c>
      <c r="X41" s="2"/>
      <c r="Y41" s="2" t="s">
        <v>255</v>
      </c>
      <c r="Z41" s="6">
        <v>742607241</v>
      </c>
      <c r="AA41" s="2" t="s">
        <v>51</v>
      </c>
      <c r="AB41" s="7" t="s">
        <v>52</v>
      </c>
      <c r="AC41" s="2" t="s">
        <v>256</v>
      </c>
      <c r="AD41" s="7" t="s">
        <v>182</v>
      </c>
      <c r="AE41" s="7"/>
      <c r="AF41" s="8"/>
      <c r="AG41" s="8"/>
    </row>
    <row r="42" spans="1:33" x14ac:dyDescent="0.25">
      <c r="A42" s="2" t="s">
        <v>292</v>
      </c>
      <c r="B42" s="3">
        <v>46245</v>
      </c>
      <c r="C42" s="3">
        <v>46253</v>
      </c>
      <c r="D42" s="2" t="s">
        <v>293</v>
      </c>
      <c r="E42" s="2" t="s">
        <v>274</v>
      </c>
      <c r="F42" s="2" t="s">
        <v>294</v>
      </c>
      <c r="G42" s="2" t="s">
        <v>82</v>
      </c>
      <c r="H42" s="2" t="s">
        <v>73</v>
      </c>
      <c r="I42" s="2" t="s">
        <v>295</v>
      </c>
      <c r="J42" s="2" t="s">
        <v>276</v>
      </c>
      <c r="K42" s="2"/>
      <c r="L42" s="2" t="s">
        <v>296</v>
      </c>
      <c r="M42" s="2" t="s">
        <v>278</v>
      </c>
      <c r="N42" s="2" t="s">
        <v>278</v>
      </c>
      <c r="O42" s="2" t="s">
        <v>297</v>
      </c>
      <c r="P42" s="2">
        <v>4</v>
      </c>
      <c r="Q42" s="2" t="s">
        <v>253</v>
      </c>
      <c r="R42" s="4">
        <v>0.153</v>
      </c>
      <c r="S42" s="5">
        <v>0.153</v>
      </c>
      <c r="T42" s="5">
        <v>0.61199999999999999</v>
      </c>
      <c r="U42" s="2" t="s">
        <v>67</v>
      </c>
      <c r="V42" s="3">
        <v>46254</v>
      </c>
      <c r="W42" s="2" t="s">
        <v>276</v>
      </c>
      <c r="X42" s="2"/>
      <c r="Y42" s="2" t="s">
        <v>255</v>
      </c>
      <c r="Z42" s="6">
        <v>742607267</v>
      </c>
      <c r="AA42" s="2" t="s">
        <v>68</v>
      </c>
      <c r="AB42" s="7"/>
      <c r="AC42" s="2"/>
      <c r="AD42" s="7"/>
      <c r="AE42" s="7"/>
      <c r="AF42" s="8"/>
      <c r="AG42" s="8"/>
    </row>
    <row r="43" spans="1:33" x14ac:dyDescent="0.25">
      <c r="A43" s="2" t="s">
        <v>292</v>
      </c>
      <c r="B43" s="3">
        <v>46245</v>
      </c>
      <c r="C43" s="3">
        <v>46253</v>
      </c>
      <c r="D43" s="2" t="s">
        <v>293</v>
      </c>
      <c r="E43" s="2" t="s">
        <v>274</v>
      </c>
      <c r="F43" s="2" t="s">
        <v>294</v>
      </c>
      <c r="G43" s="2" t="s">
        <v>82</v>
      </c>
      <c r="H43" s="2" t="s">
        <v>73</v>
      </c>
      <c r="I43" s="2" t="s">
        <v>295</v>
      </c>
      <c r="J43" s="2" t="s">
        <v>276</v>
      </c>
      <c r="K43" s="2"/>
      <c r="L43" s="2" t="s">
        <v>296</v>
      </c>
      <c r="M43" s="2" t="s">
        <v>278</v>
      </c>
      <c r="N43" s="2" t="s">
        <v>278</v>
      </c>
      <c r="O43" s="2" t="s">
        <v>298</v>
      </c>
      <c r="P43" s="2">
        <v>2</v>
      </c>
      <c r="Q43" s="2" t="s">
        <v>253</v>
      </c>
      <c r="R43" s="4">
        <v>0.153</v>
      </c>
      <c r="S43" s="5">
        <v>0.153</v>
      </c>
      <c r="T43" s="5">
        <v>0.30599999999999999</v>
      </c>
      <c r="U43" s="2" t="s">
        <v>67</v>
      </c>
      <c r="V43" s="3">
        <v>46254</v>
      </c>
      <c r="W43" s="2" t="s">
        <v>276</v>
      </c>
      <c r="X43" s="2"/>
      <c r="Y43" s="2" t="s">
        <v>255</v>
      </c>
      <c r="Z43" s="6">
        <v>742607268</v>
      </c>
      <c r="AA43" s="2" t="s">
        <v>68</v>
      </c>
      <c r="AB43" s="7"/>
      <c r="AC43" s="2"/>
      <c r="AD43" s="7"/>
      <c r="AE43" s="7"/>
      <c r="AF43" s="8"/>
      <c r="AG43" s="8"/>
    </row>
    <row r="44" spans="1:33" x14ac:dyDescent="0.25">
      <c r="A44" s="2" t="s">
        <v>292</v>
      </c>
      <c r="B44" s="3">
        <v>46245</v>
      </c>
      <c r="C44" s="3">
        <v>46253</v>
      </c>
      <c r="D44" s="2" t="s">
        <v>293</v>
      </c>
      <c r="E44" s="2" t="s">
        <v>274</v>
      </c>
      <c r="F44" s="2" t="s">
        <v>294</v>
      </c>
      <c r="G44" s="2" t="s">
        <v>82</v>
      </c>
      <c r="H44" s="2" t="s">
        <v>73</v>
      </c>
      <c r="I44" s="2" t="s">
        <v>295</v>
      </c>
      <c r="J44" s="2" t="s">
        <v>276</v>
      </c>
      <c r="K44" s="2"/>
      <c r="L44" s="2" t="s">
        <v>296</v>
      </c>
      <c r="M44" s="2" t="s">
        <v>278</v>
      </c>
      <c r="N44" s="2" t="s">
        <v>278</v>
      </c>
      <c r="O44" s="2" t="s">
        <v>299</v>
      </c>
      <c r="P44" s="2">
        <v>6</v>
      </c>
      <c r="Q44" s="2" t="s">
        <v>253</v>
      </c>
      <c r="R44" s="4">
        <v>0.153</v>
      </c>
      <c r="S44" s="5">
        <v>0.153</v>
      </c>
      <c r="T44" s="5">
        <v>0.91799999999999993</v>
      </c>
      <c r="U44" s="2" t="s">
        <v>67</v>
      </c>
      <c r="V44" s="3">
        <v>46254</v>
      </c>
      <c r="W44" s="2" t="s">
        <v>276</v>
      </c>
      <c r="X44" s="2"/>
      <c r="Y44" s="2" t="s">
        <v>255</v>
      </c>
      <c r="Z44" s="6">
        <v>742607269</v>
      </c>
      <c r="AA44" s="2" t="s">
        <v>68</v>
      </c>
      <c r="AB44" s="7"/>
      <c r="AC44" s="2"/>
      <c r="AD44" s="7"/>
      <c r="AE44" s="7"/>
      <c r="AF44" s="8"/>
      <c r="AG44" s="8"/>
    </row>
    <row r="45" spans="1:33" x14ac:dyDescent="0.25">
      <c r="A45" s="2" t="s">
        <v>292</v>
      </c>
      <c r="B45" s="3">
        <v>46245</v>
      </c>
      <c r="C45" s="3">
        <v>46253</v>
      </c>
      <c r="D45" s="2" t="s">
        <v>293</v>
      </c>
      <c r="E45" s="2" t="s">
        <v>274</v>
      </c>
      <c r="F45" s="2" t="s">
        <v>294</v>
      </c>
      <c r="G45" s="2" t="s">
        <v>82</v>
      </c>
      <c r="H45" s="2" t="s">
        <v>73</v>
      </c>
      <c r="I45" s="2" t="s">
        <v>295</v>
      </c>
      <c r="J45" s="2" t="s">
        <v>276</v>
      </c>
      <c r="K45" s="2"/>
      <c r="L45" s="2" t="s">
        <v>296</v>
      </c>
      <c r="M45" s="2" t="s">
        <v>278</v>
      </c>
      <c r="N45" s="2" t="s">
        <v>278</v>
      </c>
      <c r="O45" s="2" t="s">
        <v>300</v>
      </c>
      <c r="P45" s="2">
        <v>4</v>
      </c>
      <c r="Q45" s="2" t="s">
        <v>253</v>
      </c>
      <c r="R45" s="4">
        <v>0.153</v>
      </c>
      <c r="S45" s="5">
        <v>0.153</v>
      </c>
      <c r="T45" s="5">
        <v>0.61199999999999999</v>
      </c>
      <c r="U45" s="2" t="s">
        <v>67</v>
      </c>
      <c r="V45" s="3">
        <v>46254</v>
      </c>
      <c r="W45" s="2" t="s">
        <v>276</v>
      </c>
      <c r="X45" s="2"/>
      <c r="Y45" s="2" t="s">
        <v>255</v>
      </c>
      <c r="Z45" s="6">
        <v>742607270</v>
      </c>
      <c r="AA45" s="2" t="s">
        <v>68</v>
      </c>
      <c r="AB45" s="7"/>
      <c r="AC45" s="2"/>
      <c r="AD45" s="7"/>
      <c r="AE45" s="7"/>
      <c r="AF45" s="8"/>
      <c r="AG45" s="8"/>
    </row>
    <row r="46" spans="1:33" x14ac:dyDescent="0.25">
      <c r="A46" s="2" t="s">
        <v>292</v>
      </c>
      <c r="B46" s="3">
        <v>46245</v>
      </c>
      <c r="C46" s="3">
        <v>46253</v>
      </c>
      <c r="D46" s="2" t="s">
        <v>293</v>
      </c>
      <c r="E46" s="2" t="s">
        <v>274</v>
      </c>
      <c r="F46" s="2" t="s">
        <v>294</v>
      </c>
      <c r="G46" s="2" t="s">
        <v>82</v>
      </c>
      <c r="H46" s="2" t="s">
        <v>73</v>
      </c>
      <c r="I46" s="2" t="s">
        <v>295</v>
      </c>
      <c r="J46" s="2" t="s">
        <v>276</v>
      </c>
      <c r="K46" s="2"/>
      <c r="L46" s="2" t="s">
        <v>296</v>
      </c>
      <c r="M46" s="2" t="s">
        <v>278</v>
      </c>
      <c r="N46" s="2" t="s">
        <v>278</v>
      </c>
      <c r="O46" s="2" t="s">
        <v>301</v>
      </c>
      <c r="P46" s="2">
        <v>4</v>
      </c>
      <c r="Q46" s="2" t="s">
        <v>253</v>
      </c>
      <c r="R46" s="4">
        <v>0.153</v>
      </c>
      <c r="S46" s="5">
        <v>0.153</v>
      </c>
      <c r="T46" s="5">
        <v>0.61199999999999999</v>
      </c>
      <c r="U46" s="2" t="s">
        <v>67</v>
      </c>
      <c r="V46" s="3">
        <v>46254</v>
      </c>
      <c r="W46" s="2" t="s">
        <v>276</v>
      </c>
      <c r="X46" s="2"/>
      <c r="Y46" s="2" t="s">
        <v>255</v>
      </c>
      <c r="Z46" s="6">
        <v>742607271</v>
      </c>
      <c r="AA46" s="2" t="s">
        <v>68</v>
      </c>
      <c r="AB46" s="7"/>
      <c r="AC46" s="2"/>
      <c r="AD46" s="7"/>
      <c r="AE46" s="7"/>
      <c r="AF46" s="8"/>
      <c r="AG46" s="8"/>
    </row>
    <row r="47" spans="1:33" x14ac:dyDescent="0.25">
      <c r="A47" s="2" t="s">
        <v>302</v>
      </c>
      <c r="B47" s="3">
        <v>46246</v>
      </c>
      <c r="C47" s="3">
        <v>46254</v>
      </c>
      <c r="D47" s="2" t="s">
        <v>303</v>
      </c>
      <c r="E47" s="2" t="s">
        <v>274</v>
      </c>
      <c r="F47" s="2" t="s">
        <v>304</v>
      </c>
      <c r="G47" s="2" t="s">
        <v>58</v>
      </c>
      <c r="H47" s="2" t="s">
        <v>305</v>
      </c>
      <c r="I47" s="2" t="s">
        <v>295</v>
      </c>
      <c r="J47" s="2" t="s">
        <v>276</v>
      </c>
      <c r="K47" s="2"/>
      <c r="L47" s="2" t="s">
        <v>296</v>
      </c>
      <c r="M47" s="2" t="s">
        <v>278</v>
      </c>
      <c r="N47" s="2" t="s">
        <v>278</v>
      </c>
      <c r="O47" s="2" t="s">
        <v>306</v>
      </c>
      <c r="P47" s="2">
        <v>30</v>
      </c>
      <c r="Q47" s="2" t="s">
        <v>253</v>
      </c>
      <c r="R47" s="4">
        <v>0.153</v>
      </c>
      <c r="S47" s="5">
        <v>0.153</v>
      </c>
      <c r="T47" s="5">
        <v>4.59</v>
      </c>
      <c r="U47" s="2" t="s">
        <v>67</v>
      </c>
      <c r="V47" s="3">
        <v>46254</v>
      </c>
      <c r="W47" s="2" t="s">
        <v>276</v>
      </c>
      <c r="X47" s="2"/>
      <c r="Y47" s="2" t="s">
        <v>255</v>
      </c>
      <c r="Z47" s="6">
        <v>742607304</v>
      </c>
      <c r="AA47" s="2" t="s">
        <v>68</v>
      </c>
      <c r="AB47" s="7"/>
      <c r="AC47" s="2"/>
      <c r="AD47" s="7"/>
      <c r="AE47" s="7"/>
      <c r="AF47" s="8"/>
      <c r="AG47" s="8"/>
    </row>
    <row r="48" spans="1:33" x14ac:dyDescent="0.25">
      <c r="A48" s="2" t="s">
        <v>307</v>
      </c>
      <c r="B48" s="3">
        <v>46247</v>
      </c>
      <c r="C48" s="3">
        <v>46255</v>
      </c>
      <c r="D48" s="2" t="s">
        <v>308</v>
      </c>
      <c r="E48" s="2" t="s">
        <v>274</v>
      </c>
      <c r="F48" s="2" t="s">
        <v>309</v>
      </c>
      <c r="G48" s="2" t="s">
        <v>37</v>
      </c>
      <c r="H48" s="2" t="s">
        <v>116</v>
      </c>
      <c r="I48" s="2" t="s">
        <v>310</v>
      </c>
      <c r="J48" s="2" t="s">
        <v>276</v>
      </c>
      <c r="K48" s="2"/>
      <c r="L48" s="2" t="s">
        <v>311</v>
      </c>
      <c r="M48" s="2" t="s">
        <v>278</v>
      </c>
      <c r="N48" s="2" t="s">
        <v>278</v>
      </c>
      <c r="O48" s="2" t="s">
        <v>211</v>
      </c>
      <c r="P48" s="2">
        <v>20</v>
      </c>
      <c r="Q48" s="2" t="s">
        <v>253</v>
      </c>
      <c r="R48" s="4">
        <v>0.153</v>
      </c>
      <c r="S48" s="5">
        <v>0.153</v>
      </c>
      <c r="T48" s="5" t="s">
        <v>47</v>
      </c>
      <c r="U48" s="2" t="s">
        <v>48</v>
      </c>
      <c r="V48" s="3">
        <v>46254</v>
      </c>
      <c r="W48" s="2" t="s">
        <v>276</v>
      </c>
      <c r="X48" s="2"/>
      <c r="Y48" s="2" t="s">
        <v>255</v>
      </c>
      <c r="Z48" s="6">
        <v>742607408</v>
      </c>
      <c r="AA48" s="2" t="s">
        <v>68</v>
      </c>
      <c r="AB48" s="7"/>
      <c r="AC48" s="2"/>
      <c r="AD48" s="7"/>
      <c r="AE48" s="7"/>
      <c r="AF48" s="8"/>
      <c r="AG48" s="8"/>
    </row>
    <row r="49" spans="1:33" x14ac:dyDescent="0.25">
      <c r="A49" s="2" t="s">
        <v>302</v>
      </c>
      <c r="B49" s="3">
        <v>46234</v>
      </c>
      <c r="C49" s="3">
        <v>46244</v>
      </c>
      <c r="D49" s="2" t="s">
        <v>312</v>
      </c>
      <c r="E49" s="2" t="s">
        <v>313</v>
      </c>
      <c r="F49" s="2" t="s">
        <v>314</v>
      </c>
      <c r="G49" s="2" t="s">
        <v>58</v>
      </c>
      <c r="H49" s="2" t="s">
        <v>315</v>
      </c>
      <c r="I49" s="2" t="s">
        <v>316</v>
      </c>
      <c r="J49" s="2" t="s">
        <v>317</v>
      </c>
      <c r="K49" s="2"/>
      <c r="L49" s="2" t="s">
        <v>318</v>
      </c>
      <c r="M49" s="2" t="s">
        <v>319</v>
      </c>
      <c r="N49" s="2" t="s">
        <v>320</v>
      </c>
      <c r="O49" s="2"/>
      <c r="P49" s="2">
        <v>5</v>
      </c>
      <c r="Q49" s="2" t="s">
        <v>46</v>
      </c>
      <c r="R49" s="4">
        <v>7.1</v>
      </c>
      <c r="S49" s="5">
        <v>7.1</v>
      </c>
      <c r="T49" s="5" t="s">
        <v>47</v>
      </c>
      <c r="U49" s="2" t="s">
        <v>48</v>
      </c>
      <c r="V49" s="3">
        <v>46254</v>
      </c>
      <c r="W49" s="2" t="s">
        <v>49</v>
      </c>
      <c r="X49" s="2" t="s">
        <v>321</v>
      </c>
      <c r="Y49" s="2" t="s">
        <v>322</v>
      </c>
      <c r="Z49" s="6">
        <v>832600100</v>
      </c>
      <c r="AA49" s="2" t="s">
        <v>68</v>
      </c>
      <c r="AB49" s="7"/>
      <c r="AC49" s="2"/>
      <c r="AD49" s="7"/>
      <c r="AE49" s="7">
        <v>33.1</v>
      </c>
      <c r="AF49" s="8"/>
      <c r="AG49" s="8"/>
    </row>
    <row r="50" spans="1:33" x14ac:dyDescent="0.25">
      <c r="A50" s="2" t="s">
        <v>302</v>
      </c>
      <c r="B50" s="3">
        <v>46234</v>
      </c>
      <c r="C50" s="3">
        <v>46244</v>
      </c>
      <c r="D50" s="2" t="s">
        <v>323</v>
      </c>
      <c r="E50" s="2" t="s">
        <v>313</v>
      </c>
      <c r="F50" s="2" t="s">
        <v>314</v>
      </c>
      <c r="G50" s="2" t="s">
        <v>58</v>
      </c>
      <c r="H50" s="2" t="s">
        <v>315</v>
      </c>
      <c r="I50" s="2" t="s">
        <v>324</v>
      </c>
      <c r="J50" s="2" t="s">
        <v>325</v>
      </c>
      <c r="K50" s="2"/>
      <c r="L50" s="2" t="s">
        <v>318</v>
      </c>
      <c r="M50" s="2" t="s">
        <v>319</v>
      </c>
      <c r="N50" s="2" t="s">
        <v>320</v>
      </c>
      <c r="O50" s="2"/>
      <c r="P50" s="2">
        <v>5</v>
      </c>
      <c r="Q50" s="2" t="s">
        <v>46</v>
      </c>
      <c r="R50" s="4">
        <v>7.1</v>
      </c>
      <c r="S50" s="5">
        <v>7.1</v>
      </c>
      <c r="T50" s="5" t="s">
        <v>47</v>
      </c>
      <c r="U50" s="2" t="s">
        <v>48</v>
      </c>
      <c r="V50" s="3">
        <v>46254</v>
      </c>
      <c r="W50" s="2" t="s">
        <v>49</v>
      </c>
      <c r="X50" s="2" t="s">
        <v>326</v>
      </c>
      <c r="Y50" s="2" t="s">
        <v>322</v>
      </c>
      <c r="Z50" s="6">
        <v>832600101</v>
      </c>
      <c r="AA50" s="2" t="s">
        <v>68</v>
      </c>
      <c r="AB50" s="7"/>
      <c r="AC50" s="2"/>
      <c r="AD50" s="7"/>
      <c r="AE50" s="7">
        <v>33.1</v>
      </c>
      <c r="AF50" s="8"/>
      <c r="AG50" s="8"/>
    </row>
    <row r="51" spans="1:33" x14ac:dyDescent="0.25">
      <c r="A51" s="2" t="s">
        <v>302</v>
      </c>
      <c r="B51" s="3">
        <v>46238</v>
      </c>
      <c r="C51" s="3">
        <v>46247</v>
      </c>
      <c r="D51" s="2" t="s">
        <v>327</v>
      </c>
      <c r="E51" s="2" t="s">
        <v>313</v>
      </c>
      <c r="F51" s="2" t="s">
        <v>328</v>
      </c>
      <c r="G51" s="2" t="s">
        <v>58</v>
      </c>
      <c r="H51" s="2" t="s">
        <v>73</v>
      </c>
      <c r="I51" s="2" t="s">
        <v>329</v>
      </c>
      <c r="J51" s="2" t="s">
        <v>330</v>
      </c>
      <c r="K51" s="2"/>
      <c r="L51" s="2" t="s">
        <v>318</v>
      </c>
      <c r="M51" s="2" t="s">
        <v>331</v>
      </c>
      <c r="N51" s="2" t="s">
        <v>332</v>
      </c>
      <c r="O51" s="2"/>
      <c r="P51" s="2">
        <v>1</v>
      </c>
      <c r="Q51" s="2" t="s">
        <v>46</v>
      </c>
      <c r="R51" s="4">
        <v>7.1</v>
      </c>
      <c r="S51" s="5">
        <v>7.1</v>
      </c>
      <c r="T51" s="5" t="s">
        <v>47</v>
      </c>
      <c r="U51" s="2" t="s">
        <v>48</v>
      </c>
      <c r="V51" s="3">
        <v>46254</v>
      </c>
      <c r="W51" s="2" t="s">
        <v>49</v>
      </c>
      <c r="X51" s="2" t="s">
        <v>333</v>
      </c>
      <c r="Y51" s="2" t="s">
        <v>322</v>
      </c>
      <c r="Z51" s="6">
        <v>832600143</v>
      </c>
      <c r="AA51" s="2" t="s">
        <v>68</v>
      </c>
      <c r="AB51" s="7"/>
      <c r="AC51" s="2"/>
      <c r="AD51" s="7"/>
      <c r="AE51" s="7">
        <v>23.1</v>
      </c>
      <c r="AF51" s="8"/>
      <c r="AG51" s="8"/>
    </row>
    <row r="52" spans="1:33" x14ac:dyDescent="0.25">
      <c r="A52" s="2" t="s">
        <v>334</v>
      </c>
      <c r="B52" s="3">
        <v>46245</v>
      </c>
      <c r="C52" s="3">
        <v>46254</v>
      </c>
      <c r="D52" s="2" t="s">
        <v>335</v>
      </c>
      <c r="E52" s="2" t="s">
        <v>313</v>
      </c>
      <c r="F52" s="2" t="s">
        <v>336</v>
      </c>
      <c r="G52" s="2" t="s">
        <v>58</v>
      </c>
      <c r="H52" s="2" t="s">
        <v>337</v>
      </c>
      <c r="I52" s="2" t="s">
        <v>338</v>
      </c>
      <c r="J52" s="2" t="s">
        <v>339</v>
      </c>
      <c r="K52" s="2"/>
      <c r="L52" s="2" t="s">
        <v>340</v>
      </c>
      <c r="M52" s="2" t="s">
        <v>341</v>
      </c>
      <c r="N52" s="2" t="s">
        <v>342</v>
      </c>
      <c r="O52" s="2"/>
      <c r="P52" s="2">
        <v>4</v>
      </c>
      <c r="Q52" s="2" t="s">
        <v>46</v>
      </c>
      <c r="R52" s="4">
        <v>6.1</v>
      </c>
      <c r="S52" s="5">
        <v>6.1</v>
      </c>
      <c r="T52" s="5" t="s">
        <v>47</v>
      </c>
      <c r="U52" s="2" t="s">
        <v>48</v>
      </c>
      <c r="V52" s="3">
        <v>46254</v>
      </c>
      <c r="W52" s="2" t="s">
        <v>49</v>
      </c>
      <c r="X52" s="2" t="s">
        <v>343</v>
      </c>
      <c r="Y52" s="2" t="s">
        <v>322</v>
      </c>
      <c r="Z52" s="6">
        <v>832600184</v>
      </c>
      <c r="AA52" s="2" t="s">
        <v>68</v>
      </c>
      <c r="AB52" s="7"/>
      <c r="AC52" s="2"/>
      <c r="AD52" s="7"/>
      <c r="AE52" s="7">
        <v>14.3</v>
      </c>
      <c r="AF52" s="8"/>
      <c r="AG52" s="8"/>
    </row>
    <row r="53" spans="1:33" x14ac:dyDescent="0.25">
      <c r="A53" s="2" t="s">
        <v>334</v>
      </c>
      <c r="B53" s="3">
        <v>46246</v>
      </c>
      <c r="C53" s="3">
        <v>46255</v>
      </c>
      <c r="D53" s="2" t="s">
        <v>344</v>
      </c>
      <c r="E53" s="2" t="s">
        <v>313</v>
      </c>
      <c r="F53" s="2" t="s">
        <v>336</v>
      </c>
      <c r="G53" s="2" t="s">
        <v>58</v>
      </c>
      <c r="H53" s="2" t="s">
        <v>107</v>
      </c>
      <c r="I53" s="2" t="s">
        <v>338</v>
      </c>
      <c r="J53" s="2" t="s">
        <v>339</v>
      </c>
      <c r="K53" s="2"/>
      <c r="L53" s="2" t="s">
        <v>340</v>
      </c>
      <c r="M53" s="2" t="s">
        <v>341</v>
      </c>
      <c r="N53" s="2" t="s">
        <v>342</v>
      </c>
      <c r="O53" s="2"/>
      <c r="P53" s="2">
        <v>3</v>
      </c>
      <c r="Q53" s="2" t="s">
        <v>46</v>
      </c>
      <c r="R53" s="4">
        <v>6.1</v>
      </c>
      <c r="S53" s="5">
        <v>6.1</v>
      </c>
      <c r="T53" s="5" t="s">
        <v>47</v>
      </c>
      <c r="U53" s="2" t="s">
        <v>48</v>
      </c>
      <c r="V53" s="3">
        <v>46254</v>
      </c>
      <c r="W53" s="2" t="s">
        <v>49</v>
      </c>
      <c r="X53" s="2" t="s">
        <v>345</v>
      </c>
      <c r="Y53" s="2" t="s">
        <v>322</v>
      </c>
      <c r="Z53" s="6">
        <v>832600190</v>
      </c>
      <c r="AA53" s="2" t="s">
        <v>51</v>
      </c>
      <c r="AB53" s="7" t="s">
        <v>52</v>
      </c>
      <c r="AC53" s="2" t="s">
        <v>181</v>
      </c>
      <c r="AD53" s="7" t="s">
        <v>123</v>
      </c>
      <c r="AE53" s="7">
        <v>14.3</v>
      </c>
      <c r="AF53" s="8"/>
      <c r="AG53" s="8"/>
    </row>
    <row r="54" spans="1:33" x14ac:dyDescent="0.25">
      <c r="A54" s="2" t="s">
        <v>346</v>
      </c>
      <c r="B54" s="3">
        <v>46247</v>
      </c>
      <c r="C54" s="3">
        <v>46261</v>
      </c>
      <c r="D54" s="2" t="s">
        <v>347</v>
      </c>
      <c r="E54" s="2" t="s">
        <v>313</v>
      </c>
      <c r="F54" s="2" t="s">
        <v>348</v>
      </c>
      <c r="G54" s="2" t="s">
        <v>37</v>
      </c>
      <c r="H54" s="2" t="s">
        <v>116</v>
      </c>
      <c r="I54" s="2" t="s">
        <v>349</v>
      </c>
      <c r="J54" s="2" t="s">
        <v>350</v>
      </c>
      <c r="K54" s="2" t="s">
        <v>351</v>
      </c>
      <c r="L54" s="2" t="s">
        <v>352</v>
      </c>
      <c r="M54" s="2" t="s">
        <v>121</v>
      </c>
      <c r="N54" s="2" t="s">
        <v>122</v>
      </c>
      <c r="O54" s="2"/>
      <c r="P54" s="2">
        <v>4</v>
      </c>
      <c r="Q54" s="2" t="s">
        <v>46</v>
      </c>
      <c r="R54" s="4">
        <v>14</v>
      </c>
      <c r="S54" s="5">
        <v>14</v>
      </c>
      <c r="T54" s="5" t="s">
        <v>47</v>
      </c>
      <c r="U54" s="2" t="s">
        <v>48</v>
      </c>
      <c r="V54" s="3">
        <v>46254</v>
      </c>
      <c r="W54" s="2" t="s">
        <v>49</v>
      </c>
      <c r="X54" s="2" t="s">
        <v>353</v>
      </c>
      <c r="Y54" s="2" t="s">
        <v>322</v>
      </c>
      <c r="Z54" s="6">
        <v>832600218</v>
      </c>
      <c r="AA54" s="2" t="s">
        <v>51</v>
      </c>
      <c r="AB54" s="7" t="s">
        <v>354</v>
      </c>
      <c r="AC54" s="2" t="s">
        <v>53</v>
      </c>
      <c r="AD54" s="7" t="s">
        <v>54</v>
      </c>
      <c r="AE54" s="7">
        <v>33.299999999999997</v>
      </c>
      <c r="AF54" s="8"/>
      <c r="AG54" s="8"/>
    </row>
    <row r="55" spans="1:33" x14ac:dyDescent="0.25">
      <c r="A55" s="2" t="s">
        <v>355</v>
      </c>
      <c r="B55" s="3">
        <v>46247</v>
      </c>
      <c r="C55" s="3">
        <v>46261</v>
      </c>
      <c r="D55" s="2" t="s">
        <v>356</v>
      </c>
      <c r="E55" s="2" t="s">
        <v>313</v>
      </c>
      <c r="F55" s="2" t="s">
        <v>357</v>
      </c>
      <c r="G55" s="2" t="s">
        <v>106</v>
      </c>
      <c r="H55" s="2" t="s">
        <v>358</v>
      </c>
      <c r="I55" s="2" t="s">
        <v>359</v>
      </c>
      <c r="J55" s="2" t="s">
        <v>360</v>
      </c>
      <c r="K55" s="2" t="s">
        <v>361</v>
      </c>
      <c r="L55" s="2" t="s">
        <v>362</v>
      </c>
      <c r="M55" s="2" t="s">
        <v>111</v>
      </c>
      <c r="N55" s="2" t="s">
        <v>363</v>
      </c>
      <c r="O55" s="2"/>
      <c r="P55" s="2">
        <v>3</v>
      </c>
      <c r="Q55" s="2" t="s">
        <v>46</v>
      </c>
      <c r="R55" s="4">
        <v>4.0999999999999996</v>
      </c>
      <c r="S55" s="5">
        <v>4.0999999999999996</v>
      </c>
      <c r="T55" s="5" t="s">
        <v>47</v>
      </c>
      <c r="U55" s="2" t="s">
        <v>48</v>
      </c>
      <c r="V55" s="3">
        <v>46254</v>
      </c>
      <c r="W55" s="2" t="s">
        <v>49</v>
      </c>
      <c r="X55" s="2" t="s">
        <v>364</v>
      </c>
      <c r="Y55" s="2" t="s">
        <v>322</v>
      </c>
      <c r="Z55" s="6">
        <v>832600252</v>
      </c>
      <c r="AA55" s="2" t="s">
        <v>68</v>
      </c>
      <c r="AB55" s="7"/>
      <c r="AC55" s="2"/>
      <c r="AD55" s="7"/>
      <c r="AE55" s="7">
        <v>25.1</v>
      </c>
      <c r="AF55" s="8"/>
      <c r="AG55" s="8"/>
    </row>
    <row r="56" spans="1:33" x14ac:dyDescent="0.25">
      <c r="A56" s="2" t="s">
        <v>334</v>
      </c>
      <c r="B56" s="3">
        <v>46248</v>
      </c>
      <c r="C56" s="3">
        <v>46263</v>
      </c>
      <c r="D56" s="2" t="s">
        <v>365</v>
      </c>
      <c r="E56" s="2" t="s">
        <v>313</v>
      </c>
      <c r="F56" s="2" t="s">
        <v>336</v>
      </c>
      <c r="G56" s="2" t="s">
        <v>106</v>
      </c>
      <c r="H56" s="2" t="s">
        <v>213</v>
      </c>
      <c r="I56" s="2" t="s">
        <v>366</v>
      </c>
      <c r="J56" s="2" t="s">
        <v>367</v>
      </c>
      <c r="K56" s="2"/>
      <c r="L56" s="2" t="s">
        <v>368</v>
      </c>
      <c r="M56" s="2" t="s">
        <v>127</v>
      </c>
      <c r="N56" s="2" t="s">
        <v>128</v>
      </c>
      <c r="O56" s="2"/>
      <c r="P56" s="2">
        <v>5</v>
      </c>
      <c r="Q56" s="2" t="s">
        <v>46</v>
      </c>
      <c r="R56" s="4">
        <v>6.1</v>
      </c>
      <c r="S56" s="5">
        <v>6.1</v>
      </c>
      <c r="T56" s="5" t="s">
        <v>47</v>
      </c>
      <c r="U56" s="2" t="s">
        <v>48</v>
      </c>
      <c r="V56" s="3">
        <v>46254</v>
      </c>
      <c r="W56" s="2" t="s">
        <v>49</v>
      </c>
      <c r="X56" s="2" t="s">
        <v>369</v>
      </c>
      <c r="Y56" s="2" t="s">
        <v>322</v>
      </c>
      <c r="Z56" s="6">
        <v>832600306</v>
      </c>
      <c r="AA56" s="2" t="s">
        <v>68</v>
      </c>
      <c r="AB56" s="7"/>
      <c r="AC56" s="2"/>
      <c r="AD56" s="7"/>
      <c r="AE56" s="7">
        <v>14.3</v>
      </c>
      <c r="AF56" s="8"/>
      <c r="AG56" s="8"/>
    </row>
    <row r="57" spans="1:33" x14ac:dyDescent="0.25">
      <c r="A57" s="2" t="s">
        <v>334</v>
      </c>
      <c r="B57" s="3">
        <v>46248</v>
      </c>
      <c r="C57" s="3">
        <v>46263</v>
      </c>
      <c r="D57" s="2" t="s">
        <v>365</v>
      </c>
      <c r="E57" s="2" t="s">
        <v>313</v>
      </c>
      <c r="F57" s="2" t="s">
        <v>336</v>
      </c>
      <c r="G57" s="2" t="s">
        <v>106</v>
      </c>
      <c r="H57" s="2" t="s">
        <v>213</v>
      </c>
      <c r="I57" s="2" t="s">
        <v>370</v>
      </c>
      <c r="J57" s="2" t="s">
        <v>367</v>
      </c>
      <c r="K57" s="2"/>
      <c r="L57" s="2" t="s">
        <v>371</v>
      </c>
      <c r="M57" s="2" t="s">
        <v>372</v>
      </c>
      <c r="N57" s="2" t="s">
        <v>373</v>
      </c>
      <c r="O57" s="2"/>
      <c r="P57" s="2">
        <v>5</v>
      </c>
      <c r="Q57" s="2" t="s">
        <v>46</v>
      </c>
      <c r="R57" s="4">
        <v>6.1</v>
      </c>
      <c r="S57" s="5">
        <v>6.1</v>
      </c>
      <c r="T57" s="5" t="s">
        <v>47</v>
      </c>
      <c r="U57" s="2" t="s">
        <v>48</v>
      </c>
      <c r="V57" s="3">
        <v>46254</v>
      </c>
      <c r="W57" s="2" t="s">
        <v>49</v>
      </c>
      <c r="X57" s="2" t="s">
        <v>374</v>
      </c>
      <c r="Y57" s="2" t="s">
        <v>322</v>
      </c>
      <c r="Z57" s="6">
        <v>832600307</v>
      </c>
      <c r="AA57" s="2" t="s">
        <v>68</v>
      </c>
      <c r="AB57" s="7"/>
      <c r="AC57" s="2"/>
      <c r="AD57" s="7"/>
      <c r="AE57" s="7">
        <v>14.3</v>
      </c>
      <c r="AF57" s="8"/>
      <c r="AG57" s="8"/>
    </row>
    <row r="58" spans="1:33" x14ac:dyDescent="0.25">
      <c r="A58" s="2" t="s">
        <v>334</v>
      </c>
      <c r="B58" s="3">
        <v>46248</v>
      </c>
      <c r="C58" s="3">
        <v>46263</v>
      </c>
      <c r="D58" s="2" t="s">
        <v>365</v>
      </c>
      <c r="E58" s="2" t="s">
        <v>313</v>
      </c>
      <c r="F58" s="2" t="s">
        <v>336</v>
      </c>
      <c r="G58" s="2" t="s">
        <v>106</v>
      </c>
      <c r="H58" s="2" t="s">
        <v>213</v>
      </c>
      <c r="I58" s="2" t="s">
        <v>366</v>
      </c>
      <c r="J58" s="2" t="s">
        <v>375</v>
      </c>
      <c r="K58" s="2"/>
      <c r="L58" s="2" t="s">
        <v>376</v>
      </c>
      <c r="M58" s="2" t="s">
        <v>138</v>
      </c>
      <c r="N58" s="2" t="s">
        <v>139</v>
      </c>
      <c r="O58" s="2"/>
      <c r="P58" s="2">
        <v>5</v>
      </c>
      <c r="Q58" s="2" t="s">
        <v>46</v>
      </c>
      <c r="R58" s="4">
        <v>7.1</v>
      </c>
      <c r="S58" s="5">
        <v>7.1</v>
      </c>
      <c r="T58" s="5" t="s">
        <v>47</v>
      </c>
      <c r="U58" s="2" t="s">
        <v>48</v>
      </c>
      <c r="V58" s="3">
        <v>46254</v>
      </c>
      <c r="W58" s="2" t="s">
        <v>49</v>
      </c>
      <c r="X58" s="2" t="s">
        <v>377</v>
      </c>
      <c r="Y58" s="2" t="s">
        <v>322</v>
      </c>
      <c r="Z58" s="6">
        <v>832600308</v>
      </c>
      <c r="AA58" s="2" t="s">
        <v>68</v>
      </c>
      <c r="AB58" s="7"/>
      <c r="AC58" s="2"/>
      <c r="AD58" s="7"/>
      <c r="AE58" s="7">
        <v>14.3</v>
      </c>
      <c r="AF58" s="8"/>
      <c r="AG58" s="8"/>
    </row>
    <row r="59" spans="1:33" x14ac:dyDescent="0.25">
      <c r="A59" s="2" t="s">
        <v>334</v>
      </c>
      <c r="B59" s="3">
        <v>46248</v>
      </c>
      <c r="C59" s="3">
        <v>46263</v>
      </c>
      <c r="D59" s="2" t="s">
        <v>365</v>
      </c>
      <c r="E59" s="2" t="s">
        <v>313</v>
      </c>
      <c r="F59" s="2" t="s">
        <v>336</v>
      </c>
      <c r="G59" s="2" t="s">
        <v>106</v>
      </c>
      <c r="H59" s="2" t="s">
        <v>213</v>
      </c>
      <c r="I59" s="2" t="s">
        <v>370</v>
      </c>
      <c r="J59" s="2" t="s">
        <v>375</v>
      </c>
      <c r="K59" s="2"/>
      <c r="L59" s="2" t="s">
        <v>376</v>
      </c>
      <c r="M59" s="2" t="s">
        <v>378</v>
      </c>
      <c r="N59" s="2" t="s">
        <v>379</v>
      </c>
      <c r="O59" s="2"/>
      <c r="P59" s="2">
        <v>5</v>
      </c>
      <c r="Q59" s="2" t="s">
        <v>46</v>
      </c>
      <c r="R59" s="4">
        <v>7.1</v>
      </c>
      <c r="S59" s="5">
        <v>7.1</v>
      </c>
      <c r="T59" s="5" t="s">
        <v>47</v>
      </c>
      <c r="U59" s="2" t="s">
        <v>48</v>
      </c>
      <c r="V59" s="3">
        <v>46254</v>
      </c>
      <c r="W59" s="2" t="s">
        <v>49</v>
      </c>
      <c r="X59" s="2" t="s">
        <v>380</v>
      </c>
      <c r="Y59" s="2" t="s">
        <v>322</v>
      </c>
      <c r="Z59" s="6">
        <v>832600309</v>
      </c>
      <c r="AA59" s="2" t="s">
        <v>68</v>
      </c>
      <c r="AB59" s="7"/>
      <c r="AC59" s="2"/>
      <c r="AD59" s="7"/>
      <c r="AE59" s="7">
        <v>14.3</v>
      </c>
      <c r="AF59" s="8"/>
      <c r="AG59" s="8"/>
    </row>
    <row r="60" spans="1:33" x14ac:dyDescent="0.25">
      <c r="A60" s="2" t="s">
        <v>334</v>
      </c>
      <c r="B60" s="3">
        <v>46248</v>
      </c>
      <c r="C60" s="3">
        <v>46263</v>
      </c>
      <c r="D60" s="2" t="s">
        <v>381</v>
      </c>
      <c r="E60" s="2" t="s">
        <v>313</v>
      </c>
      <c r="F60" s="2" t="s">
        <v>336</v>
      </c>
      <c r="G60" s="2" t="s">
        <v>106</v>
      </c>
      <c r="H60" s="2" t="s">
        <v>382</v>
      </c>
      <c r="I60" s="2" t="s">
        <v>366</v>
      </c>
      <c r="J60" s="2" t="s">
        <v>367</v>
      </c>
      <c r="K60" s="2"/>
      <c r="L60" s="2" t="s">
        <v>368</v>
      </c>
      <c r="M60" s="2" t="s">
        <v>127</v>
      </c>
      <c r="N60" s="2" t="s">
        <v>128</v>
      </c>
      <c r="O60" s="2"/>
      <c r="P60" s="2">
        <v>3</v>
      </c>
      <c r="Q60" s="2" t="s">
        <v>46</v>
      </c>
      <c r="R60" s="4">
        <v>6.1</v>
      </c>
      <c r="S60" s="5">
        <v>6.1</v>
      </c>
      <c r="T60" s="5" t="s">
        <v>47</v>
      </c>
      <c r="U60" s="2" t="s">
        <v>48</v>
      </c>
      <c r="V60" s="3">
        <v>46254</v>
      </c>
      <c r="W60" s="2" t="s">
        <v>49</v>
      </c>
      <c r="X60" s="2" t="s">
        <v>383</v>
      </c>
      <c r="Y60" s="2" t="s">
        <v>322</v>
      </c>
      <c r="Z60" s="6">
        <v>832600311</v>
      </c>
      <c r="AA60" s="2" t="s">
        <v>68</v>
      </c>
      <c r="AB60" s="7"/>
      <c r="AC60" s="2"/>
      <c r="AD60" s="7"/>
      <c r="AE60" s="7">
        <v>14.3</v>
      </c>
      <c r="AF60" s="8"/>
      <c r="AG60" s="8"/>
    </row>
    <row r="61" spans="1:33" x14ac:dyDescent="0.25">
      <c r="A61" s="2" t="s">
        <v>334</v>
      </c>
      <c r="B61" s="3">
        <v>46248</v>
      </c>
      <c r="C61" s="3">
        <v>46263</v>
      </c>
      <c r="D61" s="2" t="s">
        <v>381</v>
      </c>
      <c r="E61" s="2" t="s">
        <v>313</v>
      </c>
      <c r="F61" s="2" t="s">
        <v>336</v>
      </c>
      <c r="G61" s="2" t="s">
        <v>106</v>
      </c>
      <c r="H61" s="2" t="s">
        <v>382</v>
      </c>
      <c r="I61" s="2" t="s">
        <v>370</v>
      </c>
      <c r="J61" s="2" t="s">
        <v>367</v>
      </c>
      <c r="K61" s="2"/>
      <c r="L61" s="2" t="s">
        <v>371</v>
      </c>
      <c r="M61" s="2" t="s">
        <v>372</v>
      </c>
      <c r="N61" s="2" t="s">
        <v>373</v>
      </c>
      <c r="O61" s="2"/>
      <c r="P61" s="2">
        <v>3</v>
      </c>
      <c r="Q61" s="2" t="s">
        <v>46</v>
      </c>
      <c r="R61" s="4">
        <v>6.1</v>
      </c>
      <c r="S61" s="5">
        <v>6.1</v>
      </c>
      <c r="T61" s="5" t="s">
        <v>47</v>
      </c>
      <c r="U61" s="2" t="s">
        <v>48</v>
      </c>
      <c r="V61" s="3">
        <v>46254</v>
      </c>
      <c r="W61" s="2" t="s">
        <v>49</v>
      </c>
      <c r="X61" s="2" t="s">
        <v>384</v>
      </c>
      <c r="Y61" s="2" t="s">
        <v>322</v>
      </c>
      <c r="Z61" s="6">
        <v>832600312</v>
      </c>
      <c r="AA61" s="2" t="s">
        <v>68</v>
      </c>
      <c r="AB61" s="7"/>
      <c r="AC61" s="2"/>
      <c r="AD61" s="7"/>
      <c r="AE61" s="7">
        <v>14.3</v>
      </c>
      <c r="AF61" s="8"/>
      <c r="AG61" s="8"/>
    </row>
    <row r="62" spans="1:33" x14ac:dyDescent="0.25">
      <c r="A62" s="2" t="s">
        <v>334</v>
      </c>
      <c r="B62" s="3">
        <v>46248</v>
      </c>
      <c r="C62" s="3">
        <v>46263</v>
      </c>
      <c r="D62" s="2" t="s">
        <v>365</v>
      </c>
      <c r="E62" s="2" t="s">
        <v>313</v>
      </c>
      <c r="F62" s="2" t="s">
        <v>336</v>
      </c>
      <c r="G62" s="2" t="s">
        <v>106</v>
      </c>
      <c r="H62" s="2" t="s">
        <v>213</v>
      </c>
      <c r="I62" s="2" t="s">
        <v>385</v>
      </c>
      <c r="J62" s="2" t="s">
        <v>386</v>
      </c>
      <c r="K62" s="2"/>
      <c r="L62" s="2" t="s">
        <v>387</v>
      </c>
      <c r="M62" s="2" t="s">
        <v>388</v>
      </c>
      <c r="N62" s="2" t="s">
        <v>78</v>
      </c>
      <c r="O62" s="2"/>
      <c r="P62" s="2">
        <v>5</v>
      </c>
      <c r="Q62" s="2" t="s">
        <v>46</v>
      </c>
      <c r="R62" s="4">
        <v>6.1</v>
      </c>
      <c r="S62" s="5">
        <v>6.1</v>
      </c>
      <c r="T62" s="5" t="s">
        <v>47</v>
      </c>
      <c r="U62" s="2" t="s">
        <v>48</v>
      </c>
      <c r="V62" s="3">
        <v>46254</v>
      </c>
      <c r="W62" s="2" t="s">
        <v>49</v>
      </c>
      <c r="X62" s="2" t="s">
        <v>389</v>
      </c>
      <c r="Y62" s="2" t="s">
        <v>322</v>
      </c>
      <c r="Z62" s="6">
        <v>832600317</v>
      </c>
      <c r="AA62" s="2" t="s">
        <v>68</v>
      </c>
      <c r="AB62" s="7"/>
      <c r="AC62" s="2"/>
      <c r="AD62" s="7"/>
      <c r="AE62" s="7">
        <v>14.3</v>
      </c>
      <c r="AF62" s="8"/>
      <c r="AG62" s="8"/>
    </row>
    <row r="63" spans="1:33" x14ac:dyDescent="0.25">
      <c r="A63" s="2" t="s">
        <v>129</v>
      </c>
      <c r="B63" s="3">
        <v>46234</v>
      </c>
      <c r="C63" s="3">
        <v>46248</v>
      </c>
      <c r="D63" s="2" t="s">
        <v>390</v>
      </c>
      <c r="E63" s="2" t="s">
        <v>391</v>
      </c>
      <c r="F63" s="2" t="s">
        <v>132</v>
      </c>
      <c r="G63" s="2" t="s">
        <v>58</v>
      </c>
      <c r="H63" s="2" t="s">
        <v>73</v>
      </c>
      <c r="I63" s="2" t="s">
        <v>392</v>
      </c>
      <c r="J63" s="2" t="s">
        <v>393</v>
      </c>
      <c r="K63" s="2"/>
      <c r="L63" s="2" t="s">
        <v>394</v>
      </c>
      <c r="M63" s="2" t="s">
        <v>138</v>
      </c>
      <c r="N63" s="2" t="s">
        <v>139</v>
      </c>
      <c r="O63" s="2" t="s">
        <v>395</v>
      </c>
      <c r="P63" s="2">
        <v>74.099999999999994</v>
      </c>
      <c r="Q63" s="2" t="s">
        <v>141</v>
      </c>
      <c r="R63" s="4">
        <v>2.15</v>
      </c>
      <c r="S63" s="4">
        <v>2.15</v>
      </c>
      <c r="T63" s="5">
        <v>159.32</v>
      </c>
      <c r="U63" s="2" t="s">
        <v>67</v>
      </c>
      <c r="V63" s="3">
        <v>46254</v>
      </c>
      <c r="W63" s="2" t="s">
        <v>142</v>
      </c>
      <c r="X63" s="2"/>
      <c r="Y63" s="2" t="s">
        <v>143</v>
      </c>
      <c r="Z63" s="6">
        <v>722600901</v>
      </c>
      <c r="AA63" s="2" t="s">
        <v>68</v>
      </c>
      <c r="AB63" s="7"/>
      <c r="AC63" s="2"/>
      <c r="AD63" s="7"/>
      <c r="AE63" s="7">
        <v>8.1</v>
      </c>
      <c r="AF63" s="8"/>
      <c r="AG63" s="8"/>
    </row>
    <row r="64" spans="1:33" x14ac:dyDescent="0.25">
      <c r="A64" s="2" t="s">
        <v>129</v>
      </c>
      <c r="B64" s="3">
        <v>46238</v>
      </c>
      <c r="C64" s="3">
        <v>46258</v>
      </c>
      <c r="D64" s="2" t="s">
        <v>396</v>
      </c>
      <c r="E64" s="2" t="s">
        <v>397</v>
      </c>
      <c r="F64" s="2" t="s">
        <v>328</v>
      </c>
      <c r="G64" s="2" t="s">
        <v>58</v>
      </c>
      <c r="H64" s="2" t="s">
        <v>73</v>
      </c>
      <c r="I64" s="2" t="s">
        <v>398</v>
      </c>
      <c r="J64" s="2" t="s">
        <v>399</v>
      </c>
      <c r="K64" s="2"/>
      <c r="L64" s="2" t="s">
        <v>400</v>
      </c>
      <c r="M64" s="2" t="s">
        <v>401</v>
      </c>
      <c r="N64" s="2" t="s">
        <v>402</v>
      </c>
      <c r="O64" s="2" t="s">
        <v>403</v>
      </c>
      <c r="P64" s="2">
        <v>24.2</v>
      </c>
      <c r="Q64" s="2" t="s">
        <v>141</v>
      </c>
      <c r="R64" s="4">
        <v>2.15</v>
      </c>
      <c r="S64" s="4">
        <v>2.15</v>
      </c>
      <c r="T64" s="5">
        <v>52.03</v>
      </c>
      <c r="U64" s="2" t="s">
        <v>67</v>
      </c>
      <c r="V64" s="3">
        <v>46254</v>
      </c>
      <c r="W64" s="2" t="s">
        <v>142</v>
      </c>
      <c r="X64" s="2"/>
      <c r="Y64" s="2" t="s">
        <v>143</v>
      </c>
      <c r="Z64" s="6">
        <v>722600902</v>
      </c>
      <c r="AA64" s="2" t="s">
        <v>68</v>
      </c>
      <c r="AB64" s="7"/>
      <c r="AC64" s="2"/>
      <c r="AD64" s="7"/>
      <c r="AE64" s="7">
        <v>8.1</v>
      </c>
      <c r="AF64" s="8"/>
      <c r="AG64" s="8"/>
    </row>
    <row r="65" spans="1:33" x14ac:dyDescent="0.25">
      <c r="A65" s="2" t="s">
        <v>129</v>
      </c>
      <c r="B65" s="3">
        <v>46242</v>
      </c>
      <c r="C65" s="3">
        <v>46262</v>
      </c>
      <c r="D65" s="2" t="s">
        <v>404</v>
      </c>
      <c r="E65" s="2" t="s">
        <v>397</v>
      </c>
      <c r="F65" s="2" t="s">
        <v>328</v>
      </c>
      <c r="G65" s="2" t="s">
        <v>58</v>
      </c>
      <c r="H65" s="2" t="s">
        <v>73</v>
      </c>
      <c r="I65" s="2" t="s">
        <v>398</v>
      </c>
      <c r="J65" s="2" t="s">
        <v>399</v>
      </c>
      <c r="K65" s="2"/>
      <c r="L65" s="2" t="s">
        <v>400</v>
      </c>
      <c r="M65" s="2" t="s">
        <v>401</v>
      </c>
      <c r="N65" s="2" t="s">
        <v>402</v>
      </c>
      <c r="O65" s="2" t="s">
        <v>153</v>
      </c>
      <c r="P65" s="2">
        <v>26</v>
      </c>
      <c r="Q65" s="2" t="s">
        <v>141</v>
      </c>
      <c r="R65" s="4">
        <v>2.15</v>
      </c>
      <c r="S65" s="4">
        <v>2.15</v>
      </c>
      <c r="T65" s="5">
        <v>55.9</v>
      </c>
      <c r="U65" s="2" t="s">
        <v>67</v>
      </c>
      <c r="V65" s="3">
        <v>46254</v>
      </c>
      <c r="W65" s="2" t="s">
        <v>142</v>
      </c>
      <c r="X65" s="2"/>
      <c r="Y65" s="2" t="s">
        <v>143</v>
      </c>
      <c r="Z65" s="6">
        <v>722600922</v>
      </c>
      <c r="AA65" s="2" t="s">
        <v>68</v>
      </c>
      <c r="AB65" s="7"/>
      <c r="AC65" s="2"/>
      <c r="AD65" s="7"/>
      <c r="AE65" s="7">
        <v>8.1</v>
      </c>
      <c r="AF65" s="8"/>
      <c r="AG65" s="8"/>
    </row>
    <row r="66" spans="1:33" x14ac:dyDescent="0.25">
      <c r="A66" s="2" t="s">
        <v>405</v>
      </c>
      <c r="B66" s="3">
        <v>46217</v>
      </c>
      <c r="C66" s="3">
        <v>46230</v>
      </c>
      <c r="D66" s="2" t="s">
        <v>406</v>
      </c>
      <c r="E66" s="2" t="s">
        <v>313</v>
      </c>
      <c r="F66" s="2" t="s">
        <v>328</v>
      </c>
      <c r="G66" s="2" t="s">
        <v>106</v>
      </c>
      <c r="H66" s="2" t="s">
        <v>206</v>
      </c>
      <c r="I66" s="2" t="s">
        <v>407</v>
      </c>
      <c r="J66" s="2" t="s">
        <v>408</v>
      </c>
      <c r="K66" s="2" t="s">
        <v>409</v>
      </c>
      <c r="L66" s="2" t="s">
        <v>410</v>
      </c>
      <c r="M66" s="2" t="s">
        <v>411</v>
      </c>
      <c r="N66" s="2" t="s">
        <v>78</v>
      </c>
      <c r="O66" s="2" t="s">
        <v>179</v>
      </c>
      <c r="P66" s="2">
        <v>1</v>
      </c>
      <c r="Q66" s="2" t="s">
        <v>46</v>
      </c>
      <c r="R66" s="4">
        <v>6.1</v>
      </c>
      <c r="S66" s="5">
        <v>4.88</v>
      </c>
      <c r="T66" s="5">
        <v>4.88</v>
      </c>
      <c r="U66" s="2" t="s">
        <v>67</v>
      </c>
      <c r="V66" s="3">
        <v>46254</v>
      </c>
      <c r="W66" s="2" t="s">
        <v>49</v>
      </c>
      <c r="X66" s="2"/>
      <c r="Y66" s="2" t="s">
        <v>167</v>
      </c>
      <c r="Z66" s="6">
        <v>772609836</v>
      </c>
      <c r="AA66" s="2" t="s">
        <v>68</v>
      </c>
      <c r="AB66" s="7"/>
      <c r="AC66" s="2"/>
      <c r="AD66" s="7"/>
      <c r="AE66" s="7"/>
      <c r="AF66" s="8"/>
      <c r="AG66" s="8"/>
    </row>
    <row r="67" spans="1:33" x14ac:dyDescent="0.25">
      <c r="A67" s="2" t="s">
        <v>412</v>
      </c>
      <c r="B67" s="3">
        <v>46225</v>
      </c>
      <c r="C67" s="3">
        <v>46254</v>
      </c>
      <c r="D67" s="2" t="s">
        <v>413</v>
      </c>
      <c r="E67" s="2" t="s">
        <v>313</v>
      </c>
      <c r="F67" s="2" t="s">
        <v>414</v>
      </c>
      <c r="G67" s="2" t="s">
        <v>37</v>
      </c>
      <c r="H67" s="2" t="s">
        <v>116</v>
      </c>
      <c r="I67" s="2" t="s">
        <v>338</v>
      </c>
      <c r="J67" s="2" t="s">
        <v>240</v>
      </c>
      <c r="K67" s="2" t="s">
        <v>47</v>
      </c>
      <c r="L67" s="2" t="s">
        <v>415</v>
      </c>
      <c r="M67" s="2" t="s">
        <v>111</v>
      </c>
      <c r="N67" s="2" t="s">
        <v>363</v>
      </c>
      <c r="O67" s="2" t="s">
        <v>416</v>
      </c>
      <c r="P67" s="2">
        <v>3</v>
      </c>
      <c r="Q67" s="2" t="s">
        <v>46</v>
      </c>
      <c r="R67" s="4">
        <v>8</v>
      </c>
      <c r="S67" s="5">
        <v>8</v>
      </c>
      <c r="T67" s="5" t="s">
        <v>47</v>
      </c>
      <c r="U67" s="2" t="s">
        <v>48</v>
      </c>
      <c r="V67" s="3">
        <v>46254</v>
      </c>
      <c r="W67" s="2" t="s">
        <v>49</v>
      </c>
      <c r="X67" s="2"/>
      <c r="Y67" s="2" t="s">
        <v>167</v>
      </c>
      <c r="Z67" s="6">
        <v>772606676</v>
      </c>
      <c r="AA67" s="2" t="s">
        <v>51</v>
      </c>
      <c r="AB67" s="7" t="s">
        <v>417</v>
      </c>
      <c r="AC67" s="2" t="s">
        <v>181</v>
      </c>
      <c r="AD67" s="7" t="s">
        <v>54</v>
      </c>
      <c r="AE67" s="7"/>
      <c r="AF67" s="8"/>
      <c r="AG67" s="8"/>
    </row>
    <row r="68" spans="1:33" x14ac:dyDescent="0.25">
      <c r="A68" s="2" t="s">
        <v>418</v>
      </c>
      <c r="B68" s="3">
        <v>46227</v>
      </c>
      <c r="C68" s="3">
        <v>46254</v>
      </c>
      <c r="D68" s="2" t="s">
        <v>419</v>
      </c>
      <c r="E68" s="2" t="s">
        <v>420</v>
      </c>
      <c r="F68" s="2" t="s">
        <v>421</v>
      </c>
      <c r="G68" s="2" t="s">
        <v>37</v>
      </c>
      <c r="H68" s="2" t="s">
        <v>422</v>
      </c>
      <c r="I68" s="2" t="s">
        <v>423</v>
      </c>
      <c r="J68" s="2" t="s">
        <v>424</v>
      </c>
      <c r="K68" s="2"/>
      <c r="L68" s="2" t="s">
        <v>425</v>
      </c>
      <c r="M68" s="2" t="s">
        <v>426</v>
      </c>
      <c r="N68" s="2" t="s">
        <v>426</v>
      </c>
      <c r="O68" s="2" t="s">
        <v>427</v>
      </c>
      <c r="P68" s="2">
        <v>42</v>
      </c>
      <c r="Q68" s="2" t="s">
        <v>253</v>
      </c>
      <c r="R68" s="4">
        <v>8.5000000000000006E-2</v>
      </c>
      <c r="S68" s="5">
        <v>8.5000000000000006E-2</v>
      </c>
      <c r="T68" s="5">
        <v>3.5700000000000003</v>
      </c>
      <c r="U68" s="2" t="s">
        <v>67</v>
      </c>
      <c r="V68" s="3">
        <v>46254</v>
      </c>
      <c r="W68" s="2" t="s">
        <v>428</v>
      </c>
      <c r="X68" s="2" t="s">
        <v>429</v>
      </c>
      <c r="Y68" s="2" t="s">
        <v>430</v>
      </c>
      <c r="Z68" s="6">
        <v>892604071</v>
      </c>
      <c r="AA68" s="2" t="s">
        <v>68</v>
      </c>
      <c r="AB68" s="7"/>
      <c r="AC68" s="2"/>
      <c r="AD68" s="7"/>
      <c r="AE68" s="7"/>
      <c r="AF68" s="8"/>
      <c r="AG68" s="8"/>
    </row>
    <row r="69" spans="1:33" x14ac:dyDescent="0.25">
      <c r="A69" s="2" t="s">
        <v>418</v>
      </c>
      <c r="B69" s="3">
        <v>46227</v>
      </c>
      <c r="C69" s="3">
        <v>46254</v>
      </c>
      <c r="D69" s="2" t="s">
        <v>419</v>
      </c>
      <c r="E69" s="2" t="s">
        <v>420</v>
      </c>
      <c r="F69" s="2" t="s">
        <v>421</v>
      </c>
      <c r="G69" s="2" t="s">
        <v>37</v>
      </c>
      <c r="H69" s="2" t="s">
        <v>422</v>
      </c>
      <c r="I69" s="2" t="s">
        <v>423</v>
      </c>
      <c r="J69" s="2" t="s">
        <v>424</v>
      </c>
      <c r="K69" s="2"/>
      <c r="L69" s="2" t="s">
        <v>431</v>
      </c>
      <c r="M69" s="2" t="s">
        <v>426</v>
      </c>
      <c r="N69" s="2" t="s">
        <v>426</v>
      </c>
      <c r="O69" s="2" t="s">
        <v>432</v>
      </c>
      <c r="P69" s="2">
        <v>42</v>
      </c>
      <c r="Q69" s="2" t="s">
        <v>253</v>
      </c>
      <c r="R69" s="4">
        <v>8.5000000000000006E-2</v>
      </c>
      <c r="S69" s="5">
        <v>8.5000000000000006E-2</v>
      </c>
      <c r="T69" s="5">
        <v>3.5700000000000003</v>
      </c>
      <c r="U69" s="2" t="s">
        <v>67</v>
      </c>
      <c r="V69" s="3">
        <v>46254</v>
      </c>
      <c r="W69" s="2" t="s">
        <v>428</v>
      </c>
      <c r="X69" s="2" t="s">
        <v>433</v>
      </c>
      <c r="Y69" s="2" t="s">
        <v>430</v>
      </c>
      <c r="Z69" s="6">
        <v>892604072</v>
      </c>
      <c r="AA69" s="2" t="s">
        <v>68</v>
      </c>
      <c r="AB69" s="7"/>
      <c r="AC69" s="2"/>
      <c r="AD69" s="7"/>
      <c r="AE69" s="7"/>
      <c r="AF69" s="8"/>
      <c r="AG69" s="8"/>
    </row>
    <row r="70" spans="1:33" x14ac:dyDescent="0.25">
      <c r="A70" s="2" t="s">
        <v>434</v>
      </c>
      <c r="B70" s="3">
        <v>46231</v>
      </c>
      <c r="C70" s="3">
        <v>46254</v>
      </c>
      <c r="D70" s="2" t="s">
        <v>419</v>
      </c>
      <c r="E70" s="2" t="s">
        <v>420</v>
      </c>
      <c r="F70" s="2" t="s">
        <v>435</v>
      </c>
      <c r="G70" s="2" t="s">
        <v>106</v>
      </c>
      <c r="H70" s="2" t="s">
        <v>213</v>
      </c>
      <c r="I70" s="2" t="s">
        <v>436</v>
      </c>
      <c r="J70" s="2" t="s">
        <v>437</v>
      </c>
      <c r="K70" s="2"/>
      <c r="L70" s="2" t="s">
        <v>425</v>
      </c>
      <c r="M70" s="2" t="s">
        <v>438</v>
      </c>
      <c r="N70" s="2" t="s">
        <v>438</v>
      </c>
      <c r="O70" s="2" t="s">
        <v>439</v>
      </c>
      <c r="P70" s="2">
        <v>80</v>
      </c>
      <c r="Q70" s="2" t="s">
        <v>253</v>
      </c>
      <c r="R70" s="4">
        <v>8.5000000000000006E-2</v>
      </c>
      <c r="S70" s="5">
        <v>8.5000000000000006E-2</v>
      </c>
      <c r="T70" s="5">
        <v>6.8000000000000007</v>
      </c>
      <c r="U70" s="2" t="s">
        <v>67</v>
      </c>
      <c r="V70" s="3">
        <v>46254</v>
      </c>
      <c r="W70" s="2" t="s">
        <v>428</v>
      </c>
      <c r="X70" s="2"/>
      <c r="Y70" s="2" t="s">
        <v>430</v>
      </c>
      <c r="Z70" s="6">
        <v>892604097</v>
      </c>
      <c r="AA70" s="2" t="s">
        <v>68</v>
      </c>
      <c r="AB70" s="7"/>
      <c r="AC70" s="2"/>
      <c r="AD70" s="7"/>
      <c r="AE70" s="7"/>
      <c r="AF70" s="8"/>
      <c r="AG70" s="8"/>
    </row>
    <row r="71" spans="1:33" x14ac:dyDescent="0.25">
      <c r="A71" s="2" t="s">
        <v>434</v>
      </c>
      <c r="B71" s="3">
        <v>46231</v>
      </c>
      <c r="C71" s="3">
        <v>46254</v>
      </c>
      <c r="D71" s="2" t="s">
        <v>419</v>
      </c>
      <c r="E71" s="2" t="s">
        <v>420</v>
      </c>
      <c r="F71" s="2" t="s">
        <v>435</v>
      </c>
      <c r="G71" s="2" t="s">
        <v>106</v>
      </c>
      <c r="H71" s="2" t="s">
        <v>213</v>
      </c>
      <c r="I71" s="2" t="s">
        <v>440</v>
      </c>
      <c r="J71" s="2" t="s">
        <v>437</v>
      </c>
      <c r="K71" s="2"/>
      <c r="L71" s="2" t="s">
        <v>431</v>
      </c>
      <c r="M71" s="2" t="s">
        <v>438</v>
      </c>
      <c r="N71" s="2" t="s">
        <v>438</v>
      </c>
      <c r="O71" s="2" t="s">
        <v>441</v>
      </c>
      <c r="P71" s="2">
        <v>80</v>
      </c>
      <c r="Q71" s="2" t="s">
        <v>253</v>
      </c>
      <c r="R71" s="4">
        <v>8.5000000000000006E-2</v>
      </c>
      <c r="S71" s="5">
        <v>8.5000000000000006E-2</v>
      </c>
      <c r="T71" s="5">
        <v>6.8000000000000007</v>
      </c>
      <c r="U71" s="2" t="s">
        <v>67</v>
      </c>
      <c r="V71" s="3">
        <v>46254</v>
      </c>
      <c r="W71" s="2" t="s">
        <v>428</v>
      </c>
      <c r="X71" s="2"/>
      <c r="Y71" s="2" t="s">
        <v>430</v>
      </c>
      <c r="Z71" s="6">
        <v>892604098</v>
      </c>
      <c r="AA71" s="2" t="s">
        <v>68</v>
      </c>
      <c r="AB71" s="7"/>
      <c r="AC71" s="2"/>
      <c r="AD71" s="7"/>
      <c r="AE71" s="7"/>
      <c r="AF71" s="8"/>
      <c r="AG71" s="8"/>
    </row>
    <row r="72" spans="1:33" x14ac:dyDescent="0.25">
      <c r="A72" s="2" t="s">
        <v>442</v>
      </c>
      <c r="B72" s="3">
        <v>46234</v>
      </c>
      <c r="C72" s="3">
        <v>46254</v>
      </c>
      <c r="D72" s="2" t="s">
        <v>419</v>
      </c>
      <c r="E72" s="2" t="s">
        <v>420</v>
      </c>
      <c r="F72" s="2" t="s">
        <v>443</v>
      </c>
      <c r="G72" s="2" t="s">
        <v>58</v>
      </c>
      <c r="H72" s="2" t="s">
        <v>73</v>
      </c>
      <c r="I72" s="2" t="s">
        <v>338</v>
      </c>
      <c r="J72" s="2" t="s">
        <v>444</v>
      </c>
      <c r="K72" s="2"/>
      <c r="L72" s="2" t="s">
        <v>445</v>
      </c>
      <c r="M72" s="2"/>
      <c r="N72" s="2" t="s">
        <v>446</v>
      </c>
      <c r="O72" s="2" t="s">
        <v>447</v>
      </c>
      <c r="P72" s="2">
        <v>4</v>
      </c>
      <c r="Q72" s="2" t="s">
        <v>253</v>
      </c>
      <c r="R72" s="4">
        <v>8.5000000000000006E-2</v>
      </c>
      <c r="S72" s="5">
        <v>8.5000000000000006E-2</v>
      </c>
      <c r="T72" s="5">
        <v>0.34</v>
      </c>
      <c r="U72" s="2" t="s">
        <v>67</v>
      </c>
      <c r="V72" s="3">
        <v>46254</v>
      </c>
      <c r="W72" s="2" t="s">
        <v>428</v>
      </c>
      <c r="X72" s="2"/>
      <c r="Y72" s="2" t="s">
        <v>430</v>
      </c>
      <c r="Z72" s="6">
        <v>892604136</v>
      </c>
      <c r="AA72" s="2" t="s">
        <v>68</v>
      </c>
      <c r="AB72" s="7"/>
      <c r="AC72" s="2"/>
      <c r="AD72" s="7"/>
      <c r="AE72" s="7"/>
      <c r="AF72" s="8"/>
      <c r="AG72" s="8"/>
    </row>
    <row r="73" spans="1:33" x14ac:dyDescent="0.25">
      <c r="A73" s="2" t="s">
        <v>442</v>
      </c>
      <c r="B73" s="3">
        <v>46234</v>
      </c>
      <c r="C73" s="3">
        <v>46254</v>
      </c>
      <c r="D73" s="2" t="s">
        <v>419</v>
      </c>
      <c r="E73" s="2" t="s">
        <v>420</v>
      </c>
      <c r="F73" s="2" t="s">
        <v>443</v>
      </c>
      <c r="G73" s="2" t="s">
        <v>58</v>
      </c>
      <c r="H73" s="2" t="s">
        <v>73</v>
      </c>
      <c r="I73" s="2" t="s">
        <v>338</v>
      </c>
      <c r="J73" s="2" t="s">
        <v>444</v>
      </c>
      <c r="K73" s="2"/>
      <c r="L73" s="2" t="s">
        <v>448</v>
      </c>
      <c r="M73" s="2"/>
      <c r="N73" s="2" t="s">
        <v>446</v>
      </c>
      <c r="O73" s="2" t="s">
        <v>449</v>
      </c>
      <c r="P73" s="2">
        <v>8</v>
      </c>
      <c r="Q73" s="2" t="s">
        <v>253</v>
      </c>
      <c r="R73" s="4">
        <v>8.5000000000000006E-2</v>
      </c>
      <c r="S73" s="5">
        <v>8.5000000000000006E-2</v>
      </c>
      <c r="T73" s="5">
        <v>0.68</v>
      </c>
      <c r="U73" s="2" t="s">
        <v>67</v>
      </c>
      <c r="V73" s="3">
        <v>46254</v>
      </c>
      <c r="W73" s="2" t="s">
        <v>428</v>
      </c>
      <c r="X73" s="2"/>
      <c r="Y73" s="2" t="s">
        <v>430</v>
      </c>
      <c r="Z73" s="6">
        <v>892604137</v>
      </c>
      <c r="AA73" s="2" t="s">
        <v>68</v>
      </c>
      <c r="AB73" s="7"/>
      <c r="AC73" s="2"/>
      <c r="AD73" s="7"/>
      <c r="AE73" s="7"/>
      <c r="AF73" s="8"/>
      <c r="AG73" s="8"/>
    </row>
    <row r="74" spans="1:33" x14ac:dyDescent="0.25">
      <c r="A74" s="2" t="s">
        <v>442</v>
      </c>
      <c r="B74" s="3">
        <v>46234</v>
      </c>
      <c r="C74" s="3">
        <v>46254</v>
      </c>
      <c r="D74" s="2" t="s">
        <v>419</v>
      </c>
      <c r="E74" s="2" t="s">
        <v>420</v>
      </c>
      <c r="F74" s="2" t="s">
        <v>443</v>
      </c>
      <c r="G74" s="2" t="s">
        <v>58</v>
      </c>
      <c r="H74" s="2" t="s">
        <v>73</v>
      </c>
      <c r="I74" s="2" t="s">
        <v>338</v>
      </c>
      <c r="J74" s="2" t="s">
        <v>444</v>
      </c>
      <c r="K74" s="2"/>
      <c r="L74" s="2" t="s">
        <v>450</v>
      </c>
      <c r="M74" s="2"/>
      <c r="N74" s="2" t="s">
        <v>446</v>
      </c>
      <c r="O74" s="2" t="s">
        <v>451</v>
      </c>
      <c r="P74" s="2">
        <v>4</v>
      </c>
      <c r="Q74" s="2" t="s">
        <v>253</v>
      </c>
      <c r="R74" s="4">
        <v>8.5000000000000006E-2</v>
      </c>
      <c r="S74" s="5">
        <v>8.5000000000000006E-2</v>
      </c>
      <c r="T74" s="5">
        <v>0.34</v>
      </c>
      <c r="U74" s="2" t="s">
        <v>67</v>
      </c>
      <c r="V74" s="3">
        <v>46254</v>
      </c>
      <c r="W74" s="2" t="s">
        <v>428</v>
      </c>
      <c r="X74" s="2"/>
      <c r="Y74" s="2" t="s">
        <v>430</v>
      </c>
      <c r="Z74" s="6">
        <v>892604138</v>
      </c>
      <c r="AA74" s="2" t="s">
        <v>68</v>
      </c>
      <c r="AB74" s="7"/>
      <c r="AC74" s="2"/>
      <c r="AD74" s="7"/>
      <c r="AE74" s="7"/>
      <c r="AF74" s="8"/>
      <c r="AG74" s="8"/>
    </row>
    <row r="75" spans="1:33" x14ac:dyDescent="0.25">
      <c r="A75" s="2" t="s">
        <v>242</v>
      </c>
      <c r="B75" s="3">
        <v>46253</v>
      </c>
      <c r="C75" s="3">
        <v>46254</v>
      </c>
      <c r="D75" s="2" t="s">
        <v>452</v>
      </c>
      <c r="E75" s="2" t="s">
        <v>453</v>
      </c>
      <c r="F75" s="2" t="s">
        <v>245</v>
      </c>
      <c r="G75" s="2" t="s">
        <v>106</v>
      </c>
      <c r="H75" s="2" t="s">
        <v>219</v>
      </c>
      <c r="I75" s="2" t="s">
        <v>246</v>
      </c>
      <c r="J75" s="2" t="s">
        <v>454</v>
      </c>
      <c r="K75" s="2" t="s">
        <v>455</v>
      </c>
      <c r="L75" s="2" t="s">
        <v>456</v>
      </c>
      <c r="M75" s="2" t="s">
        <v>457</v>
      </c>
      <c r="N75" s="2" t="s">
        <v>458</v>
      </c>
      <c r="O75" s="2" t="s">
        <v>252</v>
      </c>
      <c r="P75" s="2">
        <v>40</v>
      </c>
      <c r="Q75" s="2" t="s">
        <v>253</v>
      </c>
      <c r="R75" s="4">
        <v>1.7</v>
      </c>
      <c r="S75" s="5">
        <v>1.7</v>
      </c>
      <c r="T75" s="5" t="s">
        <v>47</v>
      </c>
      <c r="U75" s="2" t="s">
        <v>48</v>
      </c>
      <c r="V75" s="3">
        <v>46254</v>
      </c>
      <c r="W75" s="2" t="s">
        <v>454</v>
      </c>
      <c r="X75" s="2"/>
      <c r="Y75" s="2" t="s">
        <v>430</v>
      </c>
      <c r="Z75" s="6" t="s">
        <v>459</v>
      </c>
      <c r="AA75" s="2" t="s">
        <v>51</v>
      </c>
      <c r="AB75" s="7" t="s">
        <v>460</v>
      </c>
      <c r="AC75" s="2" t="s">
        <v>461</v>
      </c>
      <c r="AD75" s="7" t="s">
        <v>462</v>
      </c>
      <c r="AE75" s="7"/>
      <c r="AF75" s="8"/>
      <c r="AG75" s="8"/>
    </row>
    <row r="76" spans="1:33" x14ac:dyDescent="0.25">
      <c r="A76" s="2" t="s">
        <v>355</v>
      </c>
      <c r="B76" s="3">
        <v>46247</v>
      </c>
      <c r="C76" s="3">
        <v>46254</v>
      </c>
      <c r="D76" s="2" t="s">
        <v>419</v>
      </c>
      <c r="E76" s="2" t="s">
        <v>420</v>
      </c>
      <c r="F76" s="2" t="s">
        <v>357</v>
      </c>
      <c r="G76" s="2" t="s">
        <v>106</v>
      </c>
      <c r="H76" s="2" t="s">
        <v>286</v>
      </c>
      <c r="I76" s="2" t="s">
        <v>338</v>
      </c>
      <c r="J76" s="2" t="s">
        <v>437</v>
      </c>
      <c r="K76" s="2"/>
      <c r="L76" s="2" t="s">
        <v>431</v>
      </c>
      <c r="M76" s="2" t="s">
        <v>438</v>
      </c>
      <c r="N76" s="2" t="s">
        <v>438</v>
      </c>
      <c r="O76" s="2" t="s">
        <v>441</v>
      </c>
      <c r="P76" s="2">
        <v>60</v>
      </c>
      <c r="Q76" s="2" t="s">
        <v>253</v>
      </c>
      <c r="R76" s="4">
        <v>8.5000000000000006E-2</v>
      </c>
      <c r="S76" s="5">
        <v>8.5000000000000006E-2</v>
      </c>
      <c r="T76" s="5">
        <v>5.1000000000000005</v>
      </c>
      <c r="U76" s="2" t="s">
        <v>67</v>
      </c>
      <c r="V76" s="3">
        <v>46254</v>
      </c>
      <c r="W76" s="2" t="s">
        <v>428</v>
      </c>
      <c r="X76" s="2"/>
      <c r="Y76" s="2" t="s">
        <v>430</v>
      </c>
      <c r="Z76" s="6">
        <v>892604437</v>
      </c>
      <c r="AA76" s="2" t="s">
        <v>68</v>
      </c>
      <c r="AB76" s="7"/>
      <c r="AC76" s="2"/>
      <c r="AD76" s="7"/>
      <c r="AE76" s="7"/>
      <c r="AF76" s="8"/>
      <c r="AG76" s="8"/>
    </row>
    <row r="77" spans="1:33" x14ac:dyDescent="0.25">
      <c r="A77" s="2" t="s">
        <v>463</v>
      </c>
      <c r="B77" s="3">
        <v>46247</v>
      </c>
      <c r="C77" s="3">
        <v>46254</v>
      </c>
      <c r="D77" s="2" t="s">
        <v>464</v>
      </c>
      <c r="E77" s="2" t="s">
        <v>453</v>
      </c>
      <c r="F77" s="2" t="s">
        <v>465</v>
      </c>
      <c r="G77" s="2" t="s">
        <v>106</v>
      </c>
      <c r="H77" s="2" t="s">
        <v>213</v>
      </c>
      <c r="I77" s="2" t="s">
        <v>466</v>
      </c>
      <c r="J77" s="2" t="s">
        <v>454</v>
      </c>
      <c r="K77" s="2" t="s">
        <v>467</v>
      </c>
      <c r="L77" s="2" t="s">
        <v>468</v>
      </c>
      <c r="M77" s="2" t="s">
        <v>469</v>
      </c>
      <c r="N77" s="2" t="s">
        <v>470</v>
      </c>
      <c r="O77" s="2" t="s">
        <v>252</v>
      </c>
      <c r="P77" s="2">
        <v>25</v>
      </c>
      <c r="Q77" s="2" t="s">
        <v>253</v>
      </c>
      <c r="R77" s="4">
        <v>1.6</v>
      </c>
      <c r="S77" s="5">
        <v>1.6</v>
      </c>
      <c r="T77" s="5">
        <v>40</v>
      </c>
      <c r="U77" s="2" t="s">
        <v>67</v>
      </c>
      <c r="V77" s="3">
        <v>46254</v>
      </c>
      <c r="W77" s="2" t="s">
        <v>454</v>
      </c>
      <c r="X77" s="2"/>
      <c r="Y77" s="2" t="s">
        <v>430</v>
      </c>
      <c r="Z77" s="6">
        <v>892604438</v>
      </c>
      <c r="AA77" s="2" t="s">
        <v>51</v>
      </c>
      <c r="AB77" s="7" t="s">
        <v>471</v>
      </c>
      <c r="AC77" s="2">
        <v>3</v>
      </c>
      <c r="AD77" s="7" t="s">
        <v>472</v>
      </c>
      <c r="AE77" s="7"/>
      <c r="AF77" s="8"/>
      <c r="AG77" s="8"/>
    </row>
    <row r="78" spans="1:33" x14ac:dyDescent="0.25">
      <c r="A78" s="2" t="s">
        <v>147</v>
      </c>
      <c r="B78" s="3">
        <v>46248</v>
      </c>
      <c r="C78" s="3">
        <v>46254</v>
      </c>
      <c r="D78" s="2" t="s">
        <v>473</v>
      </c>
      <c r="E78" s="2" t="s">
        <v>453</v>
      </c>
      <c r="F78" s="2" t="s">
        <v>474</v>
      </c>
      <c r="G78" s="2" t="s">
        <v>106</v>
      </c>
      <c r="H78" s="2" t="s">
        <v>206</v>
      </c>
      <c r="I78" s="2" t="s">
        <v>475</v>
      </c>
      <c r="J78" s="2" t="s">
        <v>476</v>
      </c>
      <c r="K78" s="2"/>
      <c r="L78" s="2" t="s">
        <v>477</v>
      </c>
      <c r="M78" s="2" t="s">
        <v>77</v>
      </c>
      <c r="N78" s="2" t="s">
        <v>78</v>
      </c>
      <c r="O78" s="2" t="s">
        <v>153</v>
      </c>
      <c r="P78" s="2">
        <v>198</v>
      </c>
      <c r="Q78" s="2" t="s">
        <v>253</v>
      </c>
      <c r="R78" s="4">
        <v>1.6</v>
      </c>
      <c r="S78" s="5">
        <v>1.6</v>
      </c>
      <c r="T78" s="5">
        <v>316.8</v>
      </c>
      <c r="U78" s="2" t="s">
        <v>67</v>
      </c>
      <c r="V78" s="3">
        <v>46254</v>
      </c>
      <c r="W78" s="2" t="s">
        <v>454</v>
      </c>
      <c r="X78" s="2" t="s">
        <v>478</v>
      </c>
      <c r="Y78" s="2" t="s">
        <v>430</v>
      </c>
      <c r="Z78" s="6">
        <v>892604446</v>
      </c>
      <c r="AA78" s="2" t="s">
        <v>68</v>
      </c>
      <c r="AB78" s="7"/>
      <c r="AC78" s="2"/>
      <c r="AD78" s="7"/>
      <c r="AE78" s="7"/>
      <c r="AF78" s="8"/>
      <c r="AG78" s="8"/>
    </row>
    <row r="79" spans="1:33" x14ac:dyDescent="0.25">
      <c r="A79" s="2" t="s">
        <v>129</v>
      </c>
      <c r="B79" s="3">
        <v>46249</v>
      </c>
      <c r="C79" s="3">
        <v>46254</v>
      </c>
      <c r="D79" s="2" t="s">
        <v>479</v>
      </c>
      <c r="E79" s="2" t="s">
        <v>453</v>
      </c>
      <c r="F79" s="2" t="s">
        <v>474</v>
      </c>
      <c r="G79" s="2" t="s">
        <v>106</v>
      </c>
      <c r="H79" s="2" t="s">
        <v>206</v>
      </c>
      <c r="I79" s="2" t="s">
        <v>480</v>
      </c>
      <c r="J79" s="2" t="s">
        <v>454</v>
      </c>
      <c r="K79" s="2"/>
      <c r="L79" s="2" t="s">
        <v>481</v>
      </c>
      <c r="M79" s="2" t="s">
        <v>77</v>
      </c>
      <c r="N79" s="2" t="s">
        <v>78</v>
      </c>
      <c r="O79" s="2" t="s">
        <v>140</v>
      </c>
      <c r="P79" s="2">
        <v>48</v>
      </c>
      <c r="Q79" s="2" t="s">
        <v>253</v>
      </c>
      <c r="R79" s="4">
        <v>1.6</v>
      </c>
      <c r="S79" s="5">
        <v>1.6</v>
      </c>
      <c r="T79" s="5">
        <v>76.800000000000011</v>
      </c>
      <c r="U79" s="2" t="s">
        <v>67</v>
      </c>
      <c r="V79" s="3">
        <v>46254</v>
      </c>
      <c r="W79" s="2" t="s">
        <v>454</v>
      </c>
      <c r="X79" s="2" t="s">
        <v>482</v>
      </c>
      <c r="Y79" s="2" t="s">
        <v>430</v>
      </c>
      <c r="Z79" s="6">
        <v>892604489</v>
      </c>
      <c r="AA79" s="2" t="s">
        <v>68</v>
      </c>
      <c r="AB79" s="7"/>
      <c r="AC79" s="2"/>
      <c r="AD79" s="7"/>
      <c r="AE79" s="7"/>
      <c r="AF79" s="8"/>
      <c r="AG79" s="8"/>
    </row>
    <row r="80" spans="1:33" x14ac:dyDescent="0.25">
      <c r="A80" s="2" t="s">
        <v>129</v>
      </c>
      <c r="B80" s="3">
        <v>46249</v>
      </c>
      <c r="C80" s="3">
        <v>46254</v>
      </c>
      <c r="D80" s="2" t="s">
        <v>483</v>
      </c>
      <c r="E80" s="2" t="s">
        <v>453</v>
      </c>
      <c r="F80" s="2" t="s">
        <v>474</v>
      </c>
      <c r="G80" s="2" t="s">
        <v>106</v>
      </c>
      <c r="H80" s="2" t="s">
        <v>107</v>
      </c>
      <c r="I80" s="2" t="s">
        <v>480</v>
      </c>
      <c r="J80" s="2" t="s">
        <v>454</v>
      </c>
      <c r="K80" s="2"/>
      <c r="L80" s="2" t="s">
        <v>481</v>
      </c>
      <c r="M80" s="2" t="s">
        <v>77</v>
      </c>
      <c r="N80" s="2" t="s">
        <v>78</v>
      </c>
      <c r="O80" s="2" t="s">
        <v>140</v>
      </c>
      <c r="P80" s="2">
        <v>18</v>
      </c>
      <c r="Q80" s="2" t="s">
        <v>253</v>
      </c>
      <c r="R80" s="4">
        <v>1.6</v>
      </c>
      <c r="S80" s="5">
        <v>1.6</v>
      </c>
      <c r="T80" s="5">
        <v>28.8</v>
      </c>
      <c r="U80" s="2" t="s">
        <v>67</v>
      </c>
      <c r="V80" s="3">
        <v>46254</v>
      </c>
      <c r="W80" s="2" t="s">
        <v>454</v>
      </c>
      <c r="X80" s="2" t="s">
        <v>484</v>
      </c>
      <c r="Y80" s="2" t="s">
        <v>430</v>
      </c>
      <c r="Z80" s="6">
        <v>892604502</v>
      </c>
      <c r="AA80" s="2" t="s">
        <v>68</v>
      </c>
      <c r="AB80" s="7"/>
      <c r="AC80" s="2"/>
      <c r="AD80" s="7"/>
      <c r="AE80" s="7"/>
      <c r="AF80" s="8"/>
      <c r="AG80" s="8"/>
    </row>
    <row r="81" spans="1:33" x14ac:dyDescent="0.25">
      <c r="A81" s="2" t="s">
        <v>91</v>
      </c>
      <c r="B81" s="3">
        <v>46251</v>
      </c>
      <c r="C81" s="3">
        <v>46254</v>
      </c>
      <c r="D81" s="2" t="s">
        <v>485</v>
      </c>
      <c r="E81" s="2" t="s">
        <v>453</v>
      </c>
      <c r="F81" s="2" t="s">
        <v>72</v>
      </c>
      <c r="G81" s="2" t="s">
        <v>486</v>
      </c>
      <c r="H81" s="2" t="s">
        <v>73</v>
      </c>
      <c r="I81" s="2" t="s">
        <v>487</v>
      </c>
      <c r="J81" s="2" t="s">
        <v>454</v>
      </c>
      <c r="K81" s="2" t="s">
        <v>488</v>
      </c>
      <c r="L81" s="2" t="s">
        <v>489</v>
      </c>
      <c r="M81" s="2" t="s">
        <v>77</v>
      </c>
      <c r="N81" s="2" t="s">
        <v>78</v>
      </c>
      <c r="O81" s="2" t="s">
        <v>211</v>
      </c>
      <c r="P81" s="2">
        <v>2</v>
      </c>
      <c r="Q81" s="2" t="s">
        <v>253</v>
      </c>
      <c r="R81" s="4">
        <v>1.6</v>
      </c>
      <c r="S81" s="5">
        <v>1.6</v>
      </c>
      <c r="T81" s="5">
        <v>3.2</v>
      </c>
      <c r="U81" s="2" t="s">
        <v>67</v>
      </c>
      <c r="V81" s="3">
        <v>46254</v>
      </c>
      <c r="W81" s="2" t="s">
        <v>454</v>
      </c>
      <c r="X81" s="2"/>
      <c r="Y81" s="2" t="s">
        <v>430</v>
      </c>
      <c r="Z81" s="6">
        <v>892604524</v>
      </c>
      <c r="AA81" s="2" t="s">
        <v>68</v>
      </c>
      <c r="AB81" s="7"/>
      <c r="AC81" s="2"/>
      <c r="AD81" s="7"/>
      <c r="AE81" s="7"/>
      <c r="AF81" s="8"/>
      <c r="AG81" s="8"/>
    </row>
    <row r="82" spans="1:33" x14ac:dyDescent="0.25">
      <c r="A82" s="2" t="s">
        <v>463</v>
      </c>
      <c r="B82" s="3">
        <v>46252</v>
      </c>
      <c r="C82" s="3">
        <v>46254</v>
      </c>
      <c r="D82" s="2" t="s">
        <v>490</v>
      </c>
      <c r="E82" s="2" t="s">
        <v>453</v>
      </c>
      <c r="F82" s="2" t="s">
        <v>491</v>
      </c>
      <c r="G82" s="2" t="s">
        <v>106</v>
      </c>
      <c r="H82" s="2" t="s">
        <v>286</v>
      </c>
      <c r="I82" s="2" t="s">
        <v>492</v>
      </c>
      <c r="J82" s="2" t="s">
        <v>454</v>
      </c>
      <c r="K82" s="2" t="s">
        <v>488</v>
      </c>
      <c r="L82" s="2" t="s">
        <v>493</v>
      </c>
      <c r="M82" s="2" t="s">
        <v>494</v>
      </c>
      <c r="N82" s="2" t="s">
        <v>78</v>
      </c>
      <c r="O82" s="2" t="s">
        <v>252</v>
      </c>
      <c r="P82" s="2">
        <v>5</v>
      </c>
      <c r="Q82" s="2" t="s">
        <v>253</v>
      </c>
      <c r="R82" s="4">
        <v>1.6</v>
      </c>
      <c r="S82" s="5">
        <v>1.6</v>
      </c>
      <c r="T82" s="5">
        <v>8</v>
      </c>
      <c r="U82" s="2" t="s">
        <v>67</v>
      </c>
      <c r="V82" s="3">
        <v>46254</v>
      </c>
      <c r="W82" s="2" t="s">
        <v>454</v>
      </c>
      <c r="X82" s="2" t="s">
        <v>495</v>
      </c>
      <c r="Y82" s="2" t="s">
        <v>430</v>
      </c>
      <c r="Z82" s="6">
        <v>892604562</v>
      </c>
      <c r="AA82" s="2" t="s">
        <v>68</v>
      </c>
      <c r="AB82" s="7"/>
      <c r="AC82" s="2"/>
      <c r="AD82" s="7"/>
      <c r="AE82" s="7"/>
      <c r="AF82" s="8"/>
      <c r="AG82" s="8"/>
    </row>
    <row r="83" spans="1:33" x14ac:dyDescent="0.25">
      <c r="A83" s="2" t="s">
        <v>242</v>
      </c>
      <c r="B83" s="3">
        <v>46253</v>
      </c>
      <c r="C83" s="3">
        <v>46254</v>
      </c>
      <c r="D83" s="2" t="s">
        <v>496</v>
      </c>
      <c r="E83" s="2" t="s">
        <v>453</v>
      </c>
      <c r="F83" s="2" t="s">
        <v>491</v>
      </c>
      <c r="G83" s="2" t="s">
        <v>58</v>
      </c>
      <c r="H83" s="2" t="s">
        <v>73</v>
      </c>
      <c r="I83" s="2" t="s">
        <v>497</v>
      </c>
      <c r="J83" s="2" t="s">
        <v>454</v>
      </c>
      <c r="K83" s="2"/>
      <c r="L83" s="2" t="s">
        <v>498</v>
      </c>
      <c r="M83" s="2" t="s">
        <v>499</v>
      </c>
      <c r="N83" s="2" t="s">
        <v>500</v>
      </c>
      <c r="O83" s="2" t="s">
        <v>252</v>
      </c>
      <c r="P83" s="2">
        <v>2</v>
      </c>
      <c r="Q83" s="2" t="s">
        <v>253</v>
      </c>
      <c r="R83" s="4">
        <v>1.6</v>
      </c>
      <c r="S83" s="5">
        <v>1.6</v>
      </c>
      <c r="T83" s="5">
        <v>3.2</v>
      </c>
      <c r="U83" s="2" t="s">
        <v>67</v>
      </c>
      <c r="V83" s="3">
        <v>46254</v>
      </c>
      <c r="W83" s="2" t="s">
        <v>454</v>
      </c>
      <c r="X83" s="2" t="s">
        <v>501</v>
      </c>
      <c r="Y83" s="2" t="s">
        <v>430</v>
      </c>
      <c r="Z83" s="6">
        <v>892604595</v>
      </c>
      <c r="AA83" s="2" t="s">
        <v>68</v>
      </c>
      <c r="AB83" s="7"/>
      <c r="AC83" s="2"/>
      <c r="AD83" s="7"/>
      <c r="AE83" s="7"/>
      <c r="AF83" s="8"/>
      <c r="AG83" s="8"/>
    </row>
    <row r="84" spans="1:33" x14ac:dyDescent="0.25">
      <c r="A84" s="2" t="s">
        <v>502</v>
      </c>
      <c r="B84" s="3">
        <v>46227</v>
      </c>
      <c r="C84" s="3">
        <v>46251</v>
      </c>
      <c r="D84" s="2" t="s">
        <v>503</v>
      </c>
      <c r="E84" s="2" t="s">
        <v>504</v>
      </c>
      <c r="F84" s="2" t="s">
        <v>505</v>
      </c>
      <c r="G84" s="2" t="s">
        <v>506</v>
      </c>
      <c r="H84" s="2" t="s">
        <v>38</v>
      </c>
      <c r="I84" s="2" t="s">
        <v>507</v>
      </c>
      <c r="J84" s="2" t="s">
        <v>508</v>
      </c>
      <c r="K84" s="2"/>
      <c r="L84" s="2" t="s">
        <v>509</v>
      </c>
      <c r="M84" s="2" t="s">
        <v>510</v>
      </c>
      <c r="N84" s="2" t="s">
        <v>511</v>
      </c>
      <c r="O84" s="2" t="s">
        <v>211</v>
      </c>
      <c r="P84" s="2">
        <v>5</v>
      </c>
      <c r="Q84" s="2" t="s">
        <v>253</v>
      </c>
      <c r="R84" s="4">
        <v>3</v>
      </c>
      <c r="S84" s="5">
        <f>R84*0.6</f>
        <v>1.7999999999999998</v>
      </c>
      <c r="T84" s="5">
        <v>9</v>
      </c>
      <c r="U84" s="2" t="s">
        <v>67</v>
      </c>
      <c r="V84" s="3">
        <v>46254</v>
      </c>
      <c r="W84" s="2" t="s">
        <v>512</v>
      </c>
      <c r="X84" s="2" t="s">
        <v>513</v>
      </c>
      <c r="Y84" s="2" t="s">
        <v>514</v>
      </c>
      <c r="Z84" s="6">
        <v>862605368</v>
      </c>
      <c r="AA84" s="2" t="s">
        <v>68</v>
      </c>
      <c r="AB84" s="7"/>
      <c r="AC84" s="2"/>
      <c r="AD84" s="7"/>
      <c r="AE84" s="7">
        <v>7.2</v>
      </c>
      <c r="AF84" s="8"/>
      <c r="AG84" s="8"/>
    </row>
    <row r="85" spans="1:33" x14ac:dyDescent="0.25">
      <c r="A85" s="2" t="s">
        <v>502</v>
      </c>
      <c r="B85" s="3">
        <v>46227</v>
      </c>
      <c r="C85" s="3">
        <v>46251</v>
      </c>
      <c r="D85" s="2" t="s">
        <v>503</v>
      </c>
      <c r="E85" s="2" t="s">
        <v>504</v>
      </c>
      <c r="F85" s="2" t="s">
        <v>505</v>
      </c>
      <c r="G85" s="2" t="s">
        <v>506</v>
      </c>
      <c r="H85" s="2" t="s">
        <v>38</v>
      </c>
      <c r="I85" s="2" t="s">
        <v>515</v>
      </c>
      <c r="J85" s="2" t="s">
        <v>508</v>
      </c>
      <c r="K85" s="2"/>
      <c r="L85" s="2" t="s">
        <v>509</v>
      </c>
      <c r="M85" s="2" t="s">
        <v>510</v>
      </c>
      <c r="N85" s="2" t="s">
        <v>511</v>
      </c>
      <c r="O85" s="2" t="s">
        <v>211</v>
      </c>
      <c r="P85" s="2">
        <v>8</v>
      </c>
      <c r="Q85" s="2" t="s">
        <v>253</v>
      </c>
      <c r="R85" s="4">
        <v>3</v>
      </c>
      <c r="S85" s="5">
        <f t="shared" ref="S85:S89" si="0">R85*0.6</f>
        <v>1.7999999999999998</v>
      </c>
      <c r="T85" s="5">
        <v>14.4</v>
      </c>
      <c r="U85" s="2" t="s">
        <v>67</v>
      </c>
      <c r="V85" s="3">
        <v>46254</v>
      </c>
      <c r="W85" s="2" t="s">
        <v>512</v>
      </c>
      <c r="X85" s="2" t="s">
        <v>516</v>
      </c>
      <c r="Y85" s="2" t="s">
        <v>514</v>
      </c>
      <c r="Z85" s="6" t="s">
        <v>517</v>
      </c>
      <c r="AA85" s="2" t="s">
        <v>68</v>
      </c>
      <c r="AB85" s="7"/>
      <c r="AC85" s="2"/>
      <c r="AD85" s="7"/>
      <c r="AE85" s="7">
        <v>7.2</v>
      </c>
      <c r="AF85" s="8"/>
      <c r="AG85" s="8"/>
    </row>
    <row r="86" spans="1:33" x14ac:dyDescent="0.25">
      <c r="A86" s="2" t="s">
        <v>502</v>
      </c>
      <c r="B86" s="3">
        <v>46228</v>
      </c>
      <c r="C86" s="3">
        <v>46249</v>
      </c>
      <c r="D86" s="2" t="s">
        <v>503</v>
      </c>
      <c r="E86" s="2" t="s">
        <v>504</v>
      </c>
      <c r="F86" s="2" t="s">
        <v>505</v>
      </c>
      <c r="G86" s="2" t="s">
        <v>506</v>
      </c>
      <c r="H86" s="2" t="s">
        <v>38</v>
      </c>
      <c r="I86" s="2" t="s">
        <v>518</v>
      </c>
      <c r="J86" s="2" t="s">
        <v>508</v>
      </c>
      <c r="K86" s="2"/>
      <c r="L86" s="2" t="s">
        <v>519</v>
      </c>
      <c r="M86" s="2" t="s">
        <v>510</v>
      </c>
      <c r="N86" s="2" t="s">
        <v>511</v>
      </c>
      <c r="O86" s="2" t="s">
        <v>211</v>
      </c>
      <c r="P86" s="2">
        <v>8</v>
      </c>
      <c r="Q86" s="2" t="s">
        <v>253</v>
      </c>
      <c r="R86" s="4">
        <v>3</v>
      </c>
      <c r="S86" s="5">
        <f t="shared" si="0"/>
        <v>1.7999999999999998</v>
      </c>
      <c r="T86" s="5">
        <v>14.4</v>
      </c>
      <c r="U86" s="2" t="s">
        <v>67</v>
      </c>
      <c r="V86" s="3">
        <v>46254</v>
      </c>
      <c r="W86" s="2" t="s">
        <v>512</v>
      </c>
      <c r="X86" s="2" t="s">
        <v>520</v>
      </c>
      <c r="Y86" s="2" t="s">
        <v>514</v>
      </c>
      <c r="Z86" s="6" t="s">
        <v>521</v>
      </c>
      <c r="AA86" s="2" t="s">
        <v>68</v>
      </c>
      <c r="AB86" s="7"/>
      <c r="AC86" s="2"/>
      <c r="AD86" s="7"/>
      <c r="AE86" s="7">
        <v>7.2</v>
      </c>
      <c r="AF86" s="8"/>
      <c r="AG86" s="8"/>
    </row>
    <row r="87" spans="1:33" x14ac:dyDescent="0.25">
      <c r="A87" s="2" t="s">
        <v>502</v>
      </c>
      <c r="B87" s="3">
        <v>46227</v>
      </c>
      <c r="C87" s="3">
        <v>46246</v>
      </c>
      <c r="D87" s="2" t="s">
        <v>503</v>
      </c>
      <c r="E87" s="2" t="s">
        <v>504</v>
      </c>
      <c r="F87" s="2" t="s">
        <v>505</v>
      </c>
      <c r="G87" s="2" t="s">
        <v>506</v>
      </c>
      <c r="H87" s="2" t="s">
        <v>38</v>
      </c>
      <c r="I87" s="2" t="s">
        <v>507</v>
      </c>
      <c r="J87" s="2" t="s">
        <v>508</v>
      </c>
      <c r="K87" s="2"/>
      <c r="L87" s="2" t="s">
        <v>509</v>
      </c>
      <c r="M87" s="2" t="s">
        <v>510</v>
      </c>
      <c r="N87" s="2" t="s">
        <v>511</v>
      </c>
      <c r="O87" s="2" t="s">
        <v>211</v>
      </c>
      <c r="P87" s="2">
        <v>8</v>
      </c>
      <c r="Q87" s="2" t="s">
        <v>253</v>
      </c>
      <c r="R87" s="4">
        <v>3</v>
      </c>
      <c r="S87" s="5">
        <f t="shared" si="0"/>
        <v>1.7999999999999998</v>
      </c>
      <c r="T87" s="5">
        <v>14.4</v>
      </c>
      <c r="U87" s="2" t="s">
        <v>67</v>
      </c>
      <c r="V87" s="3">
        <v>46254</v>
      </c>
      <c r="W87" s="2" t="s">
        <v>512</v>
      </c>
      <c r="X87" s="2" t="s">
        <v>522</v>
      </c>
      <c r="Y87" s="2" t="s">
        <v>514</v>
      </c>
      <c r="Z87" s="6" t="s">
        <v>523</v>
      </c>
      <c r="AA87" s="2" t="s">
        <v>68</v>
      </c>
      <c r="AB87" s="7"/>
      <c r="AC87" s="2"/>
      <c r="AD87" s="7"/>
      <c r="AE87" s="7">
        <v>7.2</v>
      </c>
      <c r="AF87" s="8"/>
      <c r="AG87" s="8"/>
    </row>
    <row r="88" spans="1:33" x14ac:dyDescent="0.25">
      <c r="A88" s="2" t="s">
        <v>502</v>
      </c>
      <c r="B88" s="3">
        <v>46227</v>
      </c>
      <c r="C88" s="3">
        <v>46251</v>
      </c>
      <c r="D88" s="2" t="s">
        <v>503</v>
      </c>
      <c r="E88" s="2" t="s">
        <v>504</v>
      </c>
      <c r="F88" s="2" t="s">
        <v>505</v>
      </c>
      <c r="G88" s="2" t="s">
        <v>506</v>
      </c>
      <c r="H88" s="2" t="s">
        <v>38</v>
      </c>
      <c r="I88" s="2" t="s">
        <v>524</v>
      </c>
      <c r="J88" s="2" t="s">
        <v>508</v>
      </c>
      <c r="K88" s="2"/>
      <c r="L88" s="2" t="s">
        <v>509</v>
      </c>
      <c r="M88" s="2" t="s">
        <v>510</v>
      </c>
      <c r="N88" s="2" t="s">
        <v>511</v>
      </c>
      <c r="O88" s="2" t="s">
        <v>211</v>
      </c>
      <c r="P88" s="2">
        <v>8</v>
      </c>
      <c r="Q88" s="2" t="s">
        <v>253</v>
      </c>
      <c r="R88" s="4">
        <v>3</v>
      </c>
      <c r="S88" s="5">
        <f t="shared" si="0"/>
        <v>1.7999999999999998</v>
      </c>
      <c r="T88" s="5">
        <v>14.4</v>
      </c>
      <c r="U88" s="2" t="s">
        <v>67</v>
      </c>
      <c r="V88" s="3">
        <v>46254</v>
      </c>
      <c r="W88" s="2" t="s">
        <v>512</v>
      </c>
      <c r="X88" s="2" t="s">
        <v>525</v>
      </c>
      <c r="Y88" s="2" t="s">
        <v>514</v>
      </c>
      <c r="Z88" s="6" t="s">
        <v>526</v>
      </c>
      <c r="AA88" s="2" t="s">
        <v>68</v>
      </c>
      <c r="AB88" s="7"/>
      <c r="AC88" s="2"/>
      <c r="AD88" s="7"/>
      <c r="AE88" s="7">
        <v>7.2</v>
      </c>
      <c r="AF88" s="8"/>
      <c r="AG88" s="8"/>
    </row>
    <row r="89" spans="1:33" x14ac:dyDescent="0.25">
      <c r="A89" s="2" t="s">
        <v>527</v>
      </c>
      <c r="B89" s="3">
        <v>46228</v>
      </c>
      <c r="C89" s="3">
        <v>46252</v>
      </c>
      <c r="D89" s="2" t="s">
        <v>528</v>
      </c>
      <c r="E89" s="2" t="s">
        <v>504</v>
      </c>
      <c r="F89" s="2" t="s">
        <v>529</v>
      </c>
      <c r="G89" s="2" t="s">
        <v>37</v>
      </c>
      <c r="H89" s="2" t="s">
        <v>38</v>
      </c>
      <c r="I89" s="2" t="s">
        <v>530</v>
      </c>
      <c r="J89" s="2" t="s">
        <v>508</v>
      </c>
      <c r="K89" s="2"/>
      <c r="L89" s="2" t="s">
        <v>531</v>
      </c>
      <c r="M89" s="2" t="s">
        <v>532</v>
      </c>
      <c r="N89" s="2" t="s">
        <v>511</v>
      </c>
      <c r="O89" s="2" t="s">
        <v>533</v>
      </c>
      <c r="P89" s="2">
        <v>8</v>
      </c>
      <c r="Q89" s="2" t="s">
        <v>253</v>
      </c>
      <c r="R89" s="4">
        <v>3</v>
      </c>
      <c r="S89" s="5">
        <f t="shared" si="0"/>
        <v>1.7999999999999998</v>
      </c>
      <c r="T89" s="5">
        <v>14.4</v>
      </c>
      <c r="U89" s="2" t="s">
        <v>67</v>
      </c>
      <c r="V89" s="3">
        <v>46254</v>
      </c>
      <c r="W89" s="2" t="s">
        <v>512</v>
      </c>
      <c r="X89" s="2"/>
      <c r="Y89" s="2" t="s">
        <v>514</v>
      </c>
      <c r="Z89" s="6" t="s">
        <v>534</v>
      </c>
      <c r="AA89" s="2" t="s">
        <v>68</v>
      </c>
      <c r="AB89" s="7"/>
      <c r="AC89" s="2"/>
      <c r="AD89" s="7"/>
      <c r="AE89" s="7">
        <v>7.2</v>
      </c>
      <c r="AF89" s="8"/>
      <c r="AG89" s="8"/>
    </row>
    <row r="90" spans="1:33" x14ac:dyDescent="0.25">
      <c r="A90" s="2" t="s">
        <v>55</v>
      </c>
      <c r="B90" s="3">
        <v>46235</v>
      </c>
      <c r="C90" s="3">
        <v>46254</v>
      </c>
      <c r="D90" s="2" t="s">
        <v>535</v>
      </c>
      <c r="E90" s="2" t="s">
        <v>536</v>
      </c>
      <c r="F90" s="2" t="s">
        <v>72</v>
      </c>
      <c r="G90" s="2" t="s">
        <v>58</v>
      </c>
      <c r="H90" s="2" t="s">
        <v>59</v>
      </c>
      <c r="I90" s="2" t="s">
        <v>537</v>
      </c>
      <c r="J90" s="2" t="s">
        <v>538</v>
      </c>
      <c r="K90" s="2" t="s">
        <v>539</v>
      </c>
      <c r="L90" s="2" t="s">
        <v>540</v>
      </c>
      <c r="M90" s="2" t="s">
        <v>77</v>
      </c>
      <c r="N90" s="2" t="s">
        <v>78</v>
      </c>
      <c r="O90" s="2"/>
      <c r="P90" s="2">
        <v>12</v>
      </c>
      <c r="Q90" s="2" t="s">
        <v>46</v>
      </c>
      <c r="R90" s="4">
        <v>2.8</v>
      </c>
      <c r="S90" s="5">
        <v>1.4</v>
      </c>
      <c r="T90" s="5">
        <v>16.8</v>
      </c>
      <c r="U90" s="2" t="s">
        <v>67</v>
      </c>
      <c r="V90" s="3">
        <v>46254</v>
      </c>
      <c r="W90" s="2" t="s">
        <v>166</v>
      </c>
      <c r="X90" s="2"/>
      <c r="Y90" s="2" t="s">
        <v>514</v>
      </c>
      <c r="Z90" s="6">
        <v>862605588</v>
      </c>
      <c r="AA90" s="2" t="s">
        <v>51</v>
      </c>
      <c r="AB90" s="7" t="s">
        <v>541</v>
      </c>
      <c r="AC90" s="2" t="s">
        <v>53</v>
      </c>
      <c r="AD90" s="7" t="s">
        <v>268</v>
      </c>
      <c r="AE90" s="7">
        <v>5.4</v>
      </c>
      <c r="AF90" s="8"/>
      <c r="AG90" s="8"/>
    </row>
    <row r="91" spans="1:33" x14ac:dyDescent="0.25">
      <c r="A91" s="2" t="s">
        <v>114</v>
      </c>
      <c r="B91" s="3">
        <v>46244</v>
      </c>
      <c r="C91" s="3">
        <v>46258</v>
      </c>
      <c r="D91" s="2" t="s">
        <v>542</v>
      </c>
      <c r="E91" s="2" t="s">
        <v>536</v>
      </c>
      <c r="F91" s="2" t="s">
        <v>72</v>
      </c>
      <c r="G91" s="2" t="s">
        <v>37</v>
      </c>
      <c r="H91" s="2" t="s">
        <v>116</v>
      </c>
      <c r="I91" s="2" t="s">
        <v>543</v>
      </c>
      <c r="J91" s="2" t="s">
        <v>544</v>
      </c>
      <c r="K91" s="2" t="s">
        <v>545</v>
      </c>
      <c r="L91" s="2" t="s">
        <v>546</v>
      </c>
      <c r="M91" s="2" t="s">
        <v>111</v>
      </c>
      <c r="N91" s="2" t="s">
        <v>363</v>
      </c>
      <c r="O91" s="2"/>
      <c r="P91" s="2">
        <v>2</v>
      </c>
      <c r="Q91" s="2" t="s">
        <v>46</v>
      </c>
      <c r="R91" s="4">
        <v>1.39</v>
      </c>
      <c r="S91" s="5">
        <v>0.69499999999999995</v>
      </c>
      <c r="T91" s="5">
        <v>1.39</v>
      </c>
      <c r="U91" s="2" t="s">
        <v>67</v>
      </c>
      <c r="V91" s="3">
        <v>46254</v>
      </c>
      <c r="W91" s="2" t="s">
        <v>166</v>
      </c>
      <c r="X91" s="2"/>
      <c r="Y91" s="2" t="s">
        <v>514</v>
      </c>
      <c r="Z91" s="6">
        <v>862605758</v>
      </c>
      <c r="AA91" s="2" t="s">
        <v>68</v>
      </c>
      <c r="AB91" s="7"/>
      <c r="AC91" s="2"/>
      <c r="AD91" s="7"/>
      <c r="AE91" s="7">
        <v>6.1</v>
      </c>
      <c r="AF91" s="8"/>
      <c r="AG91" s="8"/>
    </row>
    <row r="92" spans="1:33" x14ac:dyDescent="0.25">
      <c r="A92" s="2" t="s">
        <v>547</v>
      </c>
      <c r="B92" s="3">
        <v>46246</v>
      </c>
      <c r="C92" s="3">
        <v>46260</v>
      </c>
      <c r="D92" s="2" t="s">
        <v>548</v>
      </c>
      <c r="E92" s="2" t="s">
        <v>536</v>
      </c>
      <c r="F92" s="2" t="s">
        <v>72</v>
      </c>
      <c r="G92" s="2" t="s">
        <v>106</v>
      </c>
      <c r="H92" s="2" t="s">
        <v>206</v>
      </c>
      <c r="I92" s="2" t="s">
        <v>549</v>
      </c>
      <c r="J92" s="2" t="s">
        <v>544</v>
      </c>
      <c r="K92" s="2" t="s">
        <v>545</v>
      </c>
      <c r="L92" s="2" t="s">
        <v>546</v>
      </c>
      <c r="M92" s="2" t="s">
        <v>111</v>
      </c>
      <c r="N92" s="2" t="s">
        <v>363</v>
      </c>
      <c r="O92" s="2"/>
      <c r="P92" s="2">
        <v>8</v>
      </c>
      <c r="Q92" s="2" t="s">
        <v>46</v>
      </c>
      <c r="R92" s="4">
        <v>1.39</v>
      </c>
      <c r="S92" s="5">
        <v>0.69499999999999995</v>
      </c>
      <c r="T92" s="5">
        <v>5.56</v>
      </c>
      <c r="U92" s="2" t="s">
        <v>67</v>
      </c>
      <c r="V92" s="3">
        <v>46254</v>
      </c>
      <c r="W92" s="2" t="s">
        <v>166</v>
      </c>
      <c r="X92" s="2"/>
      <c r="Y92" s="2" t="s">
        <v>514</v>
      </c>
      <c r="Z92" s="6">
        <v>862605778</v>
      </c>
      <c r="AA92" s="2" t="s">
        <v>68</v>
      </c>
      <c r="AB92" s="7"/>
      <c r="AC92" s="2"/>
      <c r="AD92" s="7"/>
      <c r="AE92" s="7">
        <v>5.2</v>
      </c>
      <c r="AF92" s="8"/>
      <c r="AG92" s="8"/>
    </row>
    <row r="93" spans="1:33" x14ac:dyDescent="0.25">
      <c r="A93" s="2" t="s">
        <v>547</v>
      </c>
      <c r="B93" s="3">
        <v>46246</v>
      </c>
      <c r="C93" s="3">
        <v>46260</v>
      </c>
      <c r="D93" s="2" t="s">
        <v>548</v>
      </c>
      <c r="E93" s="2" t="s">
        <v>536</v>
      </c>
      <c r="F93" s="2" t="s">
        <v>72</v>
      </c>
      <c r="G93" s="2" t="s">
        <v>106</v>
      </c>
      <c r="H93" s="2" t="s">
        <v>206</v>
      </c>
      <c r="I93" s="2" t="s">
        <v>550</v>
      </c>
      <c r="J93" s="2" t="s">
        <v>544</v>
      </c>
      <c r="K93" s="2" t="s">
        <v>545</v>
      </c>
      <c r="L93" s="2" t="s">
        <v>546</v>
      </c>
      <c r="M93" s="2" t="s">
        <v>77</v>
      </c>
      <c r="N93" s="2" t="s">
        <v>78</v>
      </c>
      <c r="O93" s="2"/>
      <c r="P93" s="2">
        <v>5</v>
      </c>
      <c r="Q93" s="2" t="s">
        <v>46</v>
      </c>
      <c r="R93" s="4">
        <v>1.39</v>
      </c>
      <c r="S93" s="5">
        <v>0.69499999999999995</v>
      </c>
      <c r="T93" s="5">
        <v>3.48</v>
      </c>
      <c r="U93" s="2" t="s">
        <v>67</v>
      </c>
      <c r="V93" s="3">
        <v>46254</v>
      </c>
      <c r="W93" s="2" t="s">
        <v>166</v>
      </c>
      <c r="X93" s="2"/>
      <c r="Y93" s="2" t="s">
        <v>514</v>
      </c>
      <c r="Z93" s="6">
        <v>862605779</v>
      </c>
      <c r="AA93" s="2" t="s">
        <v>68</v>
      </c>
      <c r="AB93" s="7"/>
      <c r="AC93" s="2"/>
      <c r="AD93" s="7"/>
      <c r="AE93" s="7">
        <v>5.2</v>
      </c>
      <c r="AF93" s="8"/>
      <c r="AG93" s="8"/>
    </row>
    <row r="94" spans="1:33" x14ac:dyDescent="0.25">
      <c r="A94" s="2" t="s">
        <v>551</v>
      </c>
      <c r="B94" s="3">
        <v>46249</v>
      </c>
      <c r="C94" s="3">
        <v>46259</v>
      </c>
      <c r="D94" s="2" t="s">
        <v>552</v>
      </c>
      <c r="E94" s="2" t="s">
        <v>553</v>
      </c>
      <c r="F94" s="2" t="s">
        <v>554</v>
      </c>
      <c r="G94" s="2" t="s">
        <v>106</v>
      </c>
      <c r="H94" s="2" t="s">
        <v>315</v>
      </c>
      <c r="I94" s="2" t="s">
        <v>555</v>
      </c>
      <c r="J94" s="2" t="s">
        <v>454</v>
      </c>
      <c r="K94" s="2" t="s">
        <v>488</v>
      </c>
      <c r="L94" s="2" t="s">
        <v>556</v>
      </c>
      <c r="M94" s="2" t="s">
        <v>557</v>
      </c>
      <c r="N94" s="2" t="s">
        <v>558</v>
      </c>
      <c r="O94" s="2" t="s">
        <v>559</v>
      </c>
      <c r="P94" s="2">
        <v>14</v>
      </c>
      <c r="Q94" s="2" t="s">
        <v>253</v>
      </c>
      <c r="R94" s="4">
        <v>3.29</v>
      </c>
      <c r="S94" s="5">
        <v>3.29</v>
      </c>
      <c r="T94" s="5">
        <v>46.06</v>
      </c>
      <c r="U94" s="2" t="s">
        <v>67</v>
      </c>
      <c r="V94" s="3">
        <v>46254</v>
      </c>
      <c r="W94" s="2" t="s">
        <v>454</v>
      </c>
      <c r="X94" s="2"/>
      <c r="Y94" s="2" t="s">
        <v>514</v>
      </c>
      <c r="Z94" s="6">
        <v>862605866</v>
      </c>
      <c r="AA94" s="2" t="s">
        <v>68</v>
      </c>
      <c r="AB94" s="7"/>
      <c r="AC94" s="2"/>
      <c r="AD94" s="7"/>
      <c r="AE94" s="7"/>
      <c r="AF94" s="8"/>
      <c r="AG94" s="8"/>
    </row>
    <row r="95" spans="1:33" x14ac:dyDescent="0.25">
      <c r="A95" s="2" t="s">
        <v>292</v>
      </c>
      <c r="B95" s="3">
        <v>46249</v>
      </c>
      <c r="C95" s="3">
        <v>46269</v>
      </c>
      <c r="D95" s="2" t="s">
        <v>560</v>
      </c>
      <c r="E95" s="2" t="s">
        <v>561</v>
      </c>
      <c r="F95" s="2" t="s">
        <v>562</v>
      </c>
      <c r="G95" s="2" t="s">
        <v>106</v>
      </c>
      <c r="H95" s="2" t="s">
        <v>206</v>
      </c>
      <c r="I95" s="2" t="s">
        <v>563</v>
      </c>
      <c r="J95" s="2" t="s">
        <v>564</v>
      </c>
      <c r="K95" s="2"/>
      <c r="L95" s="2" t="s">
        <v>565</v>
      </c>
      <c r="M95" s="2" t="s">
        <v>566</v>
      </c>
      <c r="N95" s="2" t="s">
        <v>567</v>
      </c>
      <c r="O95" s="2"/>
      <c r="P95" s="2">
        <v>2</v>
      </c>
      <c r="Q95" s="2" t="s">
        <v>568</v>
      </c>
      <c r="R95" s="4">
        <v>3.39</v>
      </c>
      <c r="S95" s="5">
        <v>3.39</v>
      </c>
      <c r="T95" s="5" t="s">
        <v>47</v>
      </c>
      <c r="U95" s="2" t="s">
        <v>48</v>
      </c>
      <c r="V95" s="3">
        <v>46254</v>
      </c>
      <c r="W95" s="2" t="s">
        <v>564</v>
      </c>
      <c r="X95" s="2"/>
      <c r="Y95" s="2" t="s">
        <v>255</v>
      </c>
      <c r="Z95" s="6">
        <v>742607683</v>
      </c>
      <c r="AA95" s="2" t="s">
        <v>68</v>
      </c>
      <c r="AB95" s="7"/>
      <c r="AC95" s="2"/>
      <c r="AD95" s="7"/>
      <c r="AE95" s="7"/>
      <c r="AF95" s="8"/>
      <c r="AG95" s="8"/>
    </row>
    <row r="96" spans="1:33" x14ac:dyDescent="0.25">
      <c r="A96" s="2" t="s">
        <v>569</v>
      </c>
      <c r="B96" s="3">
        <v>46249</v>
      </c>
      <c r="C96" s="3">
        <v>46255</v>
      </c>
      <c r="D96" s="2" t="s">
        <v>570</v>
      </c>
      <c r="E96" s="2" t="s">
        <v>561</v>
      </c>
      <c r="F96" s="2" t="s">
        <v>571</v>
      </c>
      <c r="G96" s="2" t="s">
        <v>106</v>
      </c>
      <c r="H96" s="2" t="s">
        <v>107</v>
      </c>
      <c r="I96" s="2" t="s">
        <v>572</v>
      </c>
      <c r="J96" s="2" t="s">
        <v>564</v>
      </c>
      <c r="K96" s="2"/>
      <c r="L96" s="2" t="s">
        <v>573</v>
      </c>
      <c r="M96" s="2" t="s">
        <v>574</v>
      </c>
      <c r="N96" s="2" t="s">
        <v>575</v>
      </c>
      <c r="O96" s="2"/>
      <c r="P96" s="2">
        <v>1</v>
      </c>
      <c r="Q96" s="2" t="s">
        <v>568</v>
      </c>
      <c r="R96" s="4">
        <v>2.8</v>
      </c>
      <c r="S96" s="5">
        <v>2.8</v>
      </c>
      <c r="T96" s="5" t="s">
        <v>47</v>
      </c>
      <c r="U96" s="2" t="s">
        <v>48</v>
      </c>
      <c r="V96" s="3">
        <v>46254</v>
      </c>
      <c r="W96" s="2" t="s">
        <v>564</v>
      </c>
      <c r="X96" s="2"/>
      <c r="Y96" s="2" t="s">
        <v>255</v>
      </c>
      <c r="Z96" s="6">
        <v>742607859</v>
      </c>
      <c r="AA96" s="2" t="s">
        <v>68</v>
      </c>
      <c r="AB96" s="7"/>
      <c r="AC96" s="2"/>
      <c r="AD96" s="7"/>
      <c r="AE96" s="7"/>
      <c r="AF96" s="8"/>
      <c r="AG96" s="8"/>
    </row>
    <row r="97" spans="1:33" x14ac:dyDescent="0.25">
      <c r="A97" s="2" t="s">
        <v>569</v>
      </c>
      <c r="B97" s="3">
        <v>46249</v>
      </c>
      <c r="C97" s="3">
        <v>46255</v>
      </c>
      <c r="D97" s="2" t="s">
        <v>570</v>
      </c>
      <c r="E97" s="2" t="s">
        <v>561</v>
      </c>
      <c r="F97" s="2" t="s">
        <v>571</v>
      </c>
      <c r="G97" s="2" t="s">
        <v>106</v>
      </c>
      <c r="H97" s="2" t="s">
        <v>107</v>
      </c>
      <c r="I97" s="2" t="s">
        <v>576</v>
      </c>
      <c r="J97" s="2" t="s">
        <v>564</v>
      </c>
      <c r="K97" s="2"/>
      <c r="L97" s="2" t="s">
        <v>573</v>
      </c>
      <c r="M97" s="2" t="s">
        <v>577</v>
      </c>
      <c r="N97" s="2" t="s">
        <v>578</v>
      </c>
      <c r="O97" s="2"/>
      <c r="P97" s="2">
        <v>1</v>
      </c>
      <c r="Q97" s="2" t="s">
        <v>568</v>
      </c>
      <c r="R97" s="4">
        <v>2.8</v>
      </c>
      <c r="S97" s="5">
        <v>2.8</v>
      </c>
      <c r="T97" s="5" t="s">
        <v>47</v>
      </c>
      <c r="U97" s="2" t="s">
        <v>48</v>
      </c>
      <c r="V97" s="3">
        <v>46254</v>
      </c>
      <c r="W97" s="2" t="s">
        <v>564</v>
      </c>
      <c r="X97" s="2"/>
      <c r="Y97" s="2" t="s">
        <v>255</v>
      </c>
      <c r="Z97" s="6">
        <v>742607860</v>
      </c>
      <c r="AA97" s="2" t="s">
        <v>68</v>
      </c>
      <c r="AB97" s="7"/>
      <c r="AC97" s="2"/>
      <c r="AD97" s="7"/>
      <c r="AE97" s="7"/>
      <c r="AF97" s="8"/>
      <c r="AG97" s="8"/>
    </row>
    <row r="98" spans="1:33" x14ac:dyDescent="0.25">
      <c r="A98" s="2" t="s">
        <v>569</v>
      </c>
      <c r="B98" s="3">
        <v>46249</v>
      </c>
      <c r="C98" s="3">
        <v>46255</v>
      </c>
      <c r="D98" s="2" t="s">
        <v>570</v>
      </c>
      <c r="E98" s="2" t="s">
        <v>561</v>
      </c>
      <c r="F98" s="2" t="s">
        <v>571</v>
      </c>
      <c r="G98" s="2" t="s">
        <v>106</v>
      </c>
      <c r="H98" s="2" t="s">
        <v>107</v>
      </c>
      <c r="I98" s="2" t="s">
        <v>579</v>
      </c>
      <c r="J98" s="2" t="s">
        <v>564</v>
      </c>
      <c r="K98" s="2"/>
      <c r="L98" s="2" t="s">
        <v>573</v>
      </c>
      <c r="M98" s="2" t="s">
        <v>580</v>
      </c>
      <c r="N98" s="2" t="s">
        <v>372</v>
      </c>
      <c r="O98" s="2"/>
      <c r="P98" s="2">
        <v>1</v>
      </c>
      <c r="Q98" s="2" t="s">
        <v>568</v>
      </c>
      <c r="R98" s="4">
        <v>2.8</v>
      </c>
      <c r="S98" s="5">
        <v>2.8</v>
      </c>
      <c r="T98" s="5" t="s">
        <v>47</v>
      </c>
      <c r="U98" s="2" t="s">
        <v>48</v>
      </c>
      <c r="V98" s="3">
        <v>46254</v>
      </c>
      <c r="W98" s="2" t="s">
        <v>564</v>
      </c>
      <c r="X98" s="2"/>
      <c r="Y98" s="2" t="s">
        <v>255</v>
      </c>
      <c r="Z98" s="6">
        <v>742607862</v>
      </c>
      <c r="AA98" s="2" t="s">
        <v>68</v>
      </c>
      <c r="AB98" s="7"/>
      <c r="AC98" s="2"/>
      <c r="AD98" s="7"/>
      <c r="AE98" s="7"/>
      <c r="AF98" s="8"/>
      <c r="AG98" s="8"/>
    </row>
    <row r="99" spans="1:33" x14ac:dyDescent="0.25">
      <c r="A99" s="2" t="s">
        <v>569</v>
      </c>
      <c r="B99" s="3">
        <v>46249</v>
      </c>
      <c r="C99" s="3">
        <v>46253</v>
      </c>
      <c r="D99" s="2" t="s">
        <v>581</v>
      </c>
      <c r="E99" s="2" t="s">
        <v>561</v>
      </c>
      <c r="F99" s="2" t="s">
        <v>571</v>
      </c>
      <c r="G99" s="2" t="s">
        <v>106</v>
      </c>
      <c r="H99" s="2" t="s">
        <v>107</v>
      </c>
      <c r="I99" s="2" t="s">
        <v>579</v>
      </c>
      <c r="J99" s="2" t="s">
        <v>564</v>
      </c>
      <c r="K99" s="2"/>
      <c r="L99" s="2" t="s">
        <v>573</v>
      </c>
      <c r="M99" s="2" t="s">
        <v>582</v>
      </c>
      <c r="N99" s="2" t="s">
        <v>378</v>
      </c>
      <c r="O99" s="2"/>
      <c r="P99" s="2">
        <v>1</v>
      </c>
      <c r="Q99" s="2" t="s">
        <v>568</v>
      </c>
      <c r="R99" s="4">
        <v>2.8</v>
      </c>
      <c r="S99" s="5">
        <v>2.8</v>
      </c>
      <c r="T99" s="5" t="s">
        <v>47</v>
      </c>
      <c r="U99" s="2" t="s">
        <v>48</v>
      </c>
      <c r="V99" s="3">
        <v>46254</v>
      </c>
      <c r="W99" s="2" t="s">
        <v>564</v>
      </c>
      <c r="X99" s="2"/>
      <c r="Y99" s="2" t="s">
        <v>255</v>
      </c>
      <c r="Z99" s="6">
        <v>742607863</v>
      </c>
      <c r="AA99" s="2" t="s">
        <v>68</v>
      </c>
      <c r="AB99" s="7"/>
      <c r="AC99" s="2"/>
      <c r="AD99" s="7"/>
      <c r="AE99" s="7"/>
      <c r="AF99" s="8"/>
      <c r="AG99" s="8"/>
    </row>
    <row r="100" spans="1:33" x14ac:dyDescent="0.25">
      <c r="A100" s="2" t="s">
        <v>225</v>
      </c>
      <c r="B100" s="3">
        <v>46249</v>
      </c>
      <c r="C100" s="3">
        <v>46254</v>
      </c>
      <c r="D100" s="2" t="s">
        <v>583</v>
      </c>
      <c r="E100" s="2" t="s">
        <v>561</v>
      </c>
      <c r="F100" s="2" t="s">
        <v>584</v>
      </c>
      <c r="G100" s="2" t="s">
        <v>82</v>
      </c>
      <c r="H100" s="2" t="s">
        <v>73</v>
      </c>
      <c r="I100" s="2" t="s">
        <v>585</v>
      </c>
      <c r="J100" s="2" t="s">
        <v>586</v>
      </c>
      <c r="K100" s="2"/>
      <c r="L100" s="2" t="s">
        <v>587</v>
      </c>
      <c r="M100" s="2" t="s">
        <v>78</v>
      </c>
      <c r="N100" s="2" t="s">
        <v>78</v>
      </c>
      <c r="O100" s="2"/>
      <c r="P100" s="2">
        <v>1</v>
      </c>
      <c r="Q100" s="2" t="s">
        <v>568</v>
      </c>
      <c r="R100" s="4">
        <v>14.37</v>
      </c>
      <c r="S100" s="5">
        <v>14.37</v>
      </c>
      <c r="T100" s="5" t="s">
        <v>47</v>
      </c>
      <c r="U100" s="2" t="s">
        <v>48</v>
      </c>
      <c r="V100" s="3">
        <v>46254</v>
      </c>
      <c r="W100" s="2" t="s">
        <v>564</v>
      </c>
      <c r="X100" s="2"/>
      <c r="Y100" s="2" t="s">
        <v>255</v>
      </c>
      <c r="Z100" s="6">
        <v>742607878</v>
      </c>
      <c r="AA100" s="2" t="s">
        <v>68</v>
      </c>
      <c r="AB100" s="7"/>
      <c r="AC100" s="2"/>
      <c r="AD100" s="7"/>
      <c r="AE100" s="7"/>
      <c r="AF100" s="8"/>
      <c r="AG100" s="8"/>
    </row>
    <row r="101" spans="1:33" x14ac:dyDescent="0.25">
      <c r="A101" s="2" t="s">
        <v>225</v>
      </c>
      <c r="B101" s="3">
        <v>46249</v>
      </c>
      <c r="C101" s="3">
        <v>46254</v>
      </c>
      <c r="D101" s="2" t="s">
        <v>583</v>
      </c>
      <c r="E101" s="2" t="s">
        <v>561</v>
      </c>
      <c r="F101" s="2" t="s">
        <v>584</v>
      </c>
      <c r="G101" s="2" t="s">
        <v>82</v>
      </c>
      <c r="H101" s="2" t="s">
        <v>73</v>
      </c>
      <c r="I101" s="2" t="s">
        <v>585</v>
      </c>
      <c r="J101" s="2" t="s">
        <v>586</v>
      </c>
      <c r="K101" s="2"/>
      <c r="L101" s="2" t="s">
        <v>588</v>
      </c>
      <c r="M101" s="2" t="s">
        <v>78</v>
      </c>
      <c r="N101" s="2" t="s">
        <v>78</v>
      </c>
      <c r="O101" s="2"/>
      <c r="P101" s="2">
        <v>1</v>
      </c>
      <c r="Q101" s="2" t="s">
        <v>568</v>
      </c>
      <c r="R101" s="4">
        <v>5.49</v>
      </c>
      <c r="S101" s="5">
        <v>5.49</v>
      </c>
      <c r="T101" s="5" t="s">
        <v>47</v>
      </c>
      <c r="U101" s="2" t="s">
        <v>48</v>
      </c>
      <c r="V101" s="3">
        <v>46254</v>
      </c>
      <c r="W101" s="2" t="s">
        <v>564</v>
      </c>
      <c r="X101" s="2"/>
      <c r="Y101" s="2" t="s">
        <v>255</v>
      </c>
      <c r="Z101" s="6">
        <v>742607879</v>
      </c>
      <c r="AA101" s="2" t="s">
        <v>68</v>
      </c>
      <c r="AB101" s="7"/>
      <c r="AC101" s="2"/>
      <c r="AD101" s="7"/>
      <c r="AE101" s="7"/>
      <c r="AF101" s="8"/>
      <c r="AG101" s="8"/>
    </row>
    <row r="102" spans="1:33" x14ac:dyDescent="0.25">
      <c r="A102" s="2" t="s">
        <v>225</v>
      </c>
      <c r="B102" s="3">
        <v>46249</v>
      </c>
      <c r="C102" s="3">
        <v>46254</v>
      </c>
      <c r="D102" s="2" t="s">
        <v>583</v>
      </c>
      <c r="E102" s="2" t="s">
        <v>561</v>
      </c>
      <c r="F102" s="2" t="s">
        <v>584</v>
      </c>
      <c r="G102" s="2" t="s">
        <v>82</v>
      </c>
      <c r="H102" s="2" t="s">
        <v>73</v>
      </c>
      <c r="I102" s="2" t="s">
        <v>585</v>
      </c>
      <c r="J102" s="2" t="s">
        <v>589</v>
      </c>
      <c r="K102" s="2"/>
      <c r="L102" s="2" t="s">
        <v>590</v>
      </c>
      <c r="M102" s="2" t="s">
        <v>78</v>
      </c>
      <c r="N102" s="2" t="s">
        <v>77</v>
      </c>
      <c r="O102" s="2"/>
      <c r="P102" s="2">
        <v>1</v>
      </c>
      <c r="Q102" s="2" t="s">
        <v>568</v>
      </c>
      <c r="R102" s="4">
        <v>5.92</v>
      </c>
      <c r="S102" s="5">
        <v>5.92</v>
      </c>
      <c r="T102" s="5" t="s">
        <v>47</v>
      </c>
      <c r="U102" s="2" t="s">
        <v>48</v>
      </c>
      <c r="V102" s="3">
        <v>46254</v>
      </c>
      <c r="W102" s="2" t="s">
        <v>564</v>
      </c>
      <c r="X102" s="2"/>
      <c r="Y102" s="2" t="s">
        <v>255</v>
      </c>
      <c r="Z102" s="6">
        <v>742607880</v>
      </c>
      <c r="AA102" s="2" t="s">
        <v>68</v>
      </c>
      <c r="AB102" s="7"/>
      <c r="AC102" s="2"/>
      <c r="AD102" s="7"/>
      <c r="AE102" s="7"/>
      <c r="AF102" s="8"/>
      <c r="AG102" s="8"/>
    </row>
    <row r="103" spans="1:33" x14ac:dyDescent="0.25">
      <c r="A103" s="2" t="s">
        <v>225</v>
      </c>
      <c r="B103" s="3">
        <v>46249</v>
      </c>
      <c r="C103" s="3">
        <v>46254</v>
      </c>
      <c r="D103" s="2" t="s">
        <v>583</v>
      </c>
      <c r="E103" s="2" t="s">
        <v>561</v>
      </c>
      <c r="F103" s="2" t="s">
        <v>584</v>
      </c>
      <c r="G103" s="2" t="s">
        <v>82</v>
      </c>
      <c r="H103" s="2" t="s">
        <v>73</v>
      </c>
      <c r="I103" s="2" t="s">
        <v>585</v>
      </c>
      <c r="J103" s="2" t="s">
        <v>591</v>
      </c>
      <c r="K103" s="2"/>
      <c r="L103" s="2" t="s">
        <v>592</v>
      </c>
      <c r="M103" s="2" t="s">
        <v>78</v>
      </c>
      <c r="N103" s="2" t="s">
        <v>78</v>
      </c>
      <c r="O103" s="2"/>
      <c r="P103" s="2">
        <v>1</v>
      </c>
      <c r="Q103" s="2" t="s">
        <v>568</v>
      </c>
      <c r="R103" s="4">
        <v>4.08</v>
      </c>
      <c r="S103" s="5">
        <v>4.08</v>
      </c>
      <c r="T103" s="5" t="s">
        <v>47</v>
      </c>
      <c r="U103" s="2" t="s">
        <v>48</v>
      </c>
      <c r="V103" s="3">
        <v>46254</v>
      </c>
      <c r="W103" s="2" t="s">
        <v>564</v>
      </c>
      <c r="X103" s="2"/>
      <c r="Y103" s="2" t="s">
        <v>255</v>
      </c>
      <c r="Z103" s="6">
        <v>742607883</v>
      </c>
      <c r="AA103" s="2" t="s">
        <v>68</v>
      </c>
      <c r="AB103" s="7"/>
      <c r="AC103" s="2"/>
      <c r="AD103" s="7"/>
      <c r="AE103" s="7"/>
      <c r="AF103" s="8"/>
      <c r="AG103" s="8"/>
    </row>
    <row r="104" spans="1:33" x14ac:dyDescent="0.25">
      <c r="A104" s="2" t="s">
        <v>225</v>
      </c>
      <c r="B104" s="3">
        <v>46249</v>
      </c>
      <c r="C104" s="3">
        <v>46254</v>
      </c>
      <c r="D104" s="2" t="s">
        <v>583</v>
      </c>
      <c r="E104" s="2" t="s">
        <v>561</v>
      </c>
      <c r="F104" s="2" t="s">
        <v>584</v>
      </c>
      <c r="G104" s="2" t="s">
        <v>82</v>
      </c>
      <c r="H104" s="2" t="s">
        <v>73</v>
      </c>
      <c r="I104" s="2" t="s">
        <v>585</v>
      </c>
      <c r="J104" s="2" t="s">
        <v>593</v>
      </c>
      <c r="K104" s="2"/>
      <c r="L104" s="2" t="s">
        <v>592</v>
      </c>
      <c r="M104" s="2" t="s">
        <v>594</v>
      </c>
      <c r="N104" s="2" t="s">
        <v>595</v>
      </c>
      <c r="O104" s="2"/>
      <c r="P104" s="2">
        <v>1</v>
      </c>
      <c r="Q104" s="2" t="s">
        <v>568</v>
      </c>
      <c r="R104" s="4">
        <v>4.46</v>
      </c>
      <c r="S104" s="5">
        <v>4.46</v>
      </c>
      <c r="T104" s="5" t="s">
        <v>47</v>
      </c>
      <c r="U104" s="2" t="s">
        <v>48</v>
      </c>
      <c r="V104" s="3">
        <v>46254</v>
      </c>
      <c r="W104" s="2" t="s">
        <v>564</v>
      </c>
      <c r="X104" s="2"/>
      <c r="Y104" s="2" t="s">
        <v>255</v>
      </c>
      <c r="Z104" s="6">
        <v>742607884</v>
      </c>
      <c r="AA104" s="2" t="s">
        <v>68</v>
      </c>
      <c r="AB104" s="7"/>
      <c r="AC104" s="2"/>
      <c r="AD104" s="7"/>
      <c r="AE104" s="7"/>
      <c r="AF104" s="8"/>
      <c r="AG104" s="8"/>
    </row>
    <row r="105" spans="1:33" x14ac:dyDescent="0.25">
      <c r="A105" s="2" t="s">
        <v>434</v>
      </c>
      <c r="B105" s="3">
        <v>46252</v>
      </c>
      <c r="C105" s="3">
        <v>46255</v>
      </c>
      <c r="D105" s="2" t="s">
        <v>596</v>
      </c>
      <c r="E105" s="2" t="s">
        <v>561</v>
      </c>
      <c r="F105" s="2" t="s">
        <v>597</v>
      </c>
      <c r="G105" s="2" t="s">
        <v>106</v>
      </c>
      <c r="H105" s="2" t="s">
        <v>206</v>
      </c>
      <c r="I105" s="2" t="s">
        <v>598</v>
      </c>
      <c r="J105" s="2" t="s">
        <v>564</v>
      </c>
      <c r="K105" s="2"/>
      <c r="L105" s="2" t="s">
        <v>599</v>
      </c>
      <c r="M105" s="2" t="s">
        <v>582</v>
      </c>
      <c r="N105" s="2" t="s">
        <v>378</v>
      </c>
      <c r="O105" s="2" t="s">
        <v>559</v>
      </c>
      <c r="P105" s="2">
        <v>1</v>
      </c>
      <c r="Q105" s="2" t="s">
        <v>568</v>
      </c>
      <c r="R105" s="4">
        <v>3.39</v>
      </c>
      <c r="S105" s="5">
        <v>3.39</v>
      </c>
      <c r="T105" s="5" t="s">
        <v>47</v>
      </c>
      <c r="U105" s="2" t="s">
        <v>48</v>
      </c>
      <c r="V105" s="3">
        <v>46254</v>
      </c>
      <c r="W105" s="2" t="s">
        <v>564</v>
      </c>
      <c r="X105" s="2"/>
      <c r="Y105" s="2" t="s">
        <v>255</v>
      </c>
      <c r="Z105" s="6">
        <v>742607943</v>
      </c>
      <c r="AA105" s="2" t="s">
        <v>68</v>
      </c>
      <c r="AB105" s="7"/>
      <c r="AC105" s="2"/>
      <c r="AD105" s="7"/>
      <c r="AE105" s="7"/>
      <c r="AF105" s="8"/>
      <c r="AG105" s="8"/>
    </row>
    <row r="106" spans="1:33" x14ac:dyDescent="0.25">
      <c r="A106" s="2" t="s">
        <v>434</v>
      </c>
      <c r="B106" s="3">
        <v>46252</v>
      </c>
      <c r="C106" s="3">
        <v>46254</v>
      </c>
      <c r="D106" s="2" t="s">
        <v>600</v>
      </c>
      <c r="E106" s="2" t="s">
        <v>561</v>
      </c>
      <c r="F106" s="2" t="s">
        <v>597</v>
      </c>
      <c r="G106" s="2" t="s">
        <v>106</v>
      </c>
      <c r="H106" s="2" t="s">
        <v>206</v>
      </c>
      <c r="I106" s="2" t="s">
        <v>598</v>
      </c>
      <c r="J106" s="2" t="s">
        <v>564</v>
      </c>
      <c r="K106" s="2"/>
      <c r="L106" s="2" t="s">
        <v>573</v>
      </c>
      <c r="M106" s="2" t="s">
        <v>582</v>
      </c>
      <c r="N106" s="2" t="s">
        <v>378</v>
      </c>
      <c r="O106" s="2" t="s">
        <v>559</v>
      </c>
      <c r="P106" s="2">
        <v>1</v>
      </c>
      <c r="Q106" s="2" t="s">
        <v>568</v>
      </c>
      <c r="R106" s="4">
        <v>2.8</v>
      </c>
      <c r="S106" s="5">
        <v>2.8</v>
      </c>
      <c r="T106" s="5" t="s">
        <v>47</v>
      </c>
      <c r="U106" s="2" t="s">
        <v>48</v>
      </c>
      <c r="V106" s="3">
        <v>46254</v>
      </c>
      <c r="W106" s="2" t="s">
        <v>564</v>
      </c>
      <c r="X106" s="2"/>
      <c r="Y106" s="2" t="s">
        <v>255</v>
      </c>
      <c r="Z106" s="6">
        <v>742607944</v>
      </c>
      <c r="AA106" s="2" t="s">
        <v>68</v>
      </c>
      <c r="AB106" s="7"/>
      <c r="AC106" s="2"/>
      <c r="AD106" s="7"/>
      <c r="AE106" s="7"/>
      <c r="AF106" s="8"/>
      <c r="AG106" s="8"/>
    </row>
    <row r="107" spans="1:33" x14ac:dyDescent="0.25">
      <c r="A107" s="2" t="s">
        <v>601</v>
      </c>
      <c r="B107" s="3">
        <v>46252</v>
      </c>
      <c r="C107" s="3">
        <v>46254</v>
      </c>
      <c r="D107" s="2" t="s">
        <v>600</v>
      </c>
      <c r="E107" s="2" t="s">
        <v>561</v>
      </c>
      <c r="F107" s="2" t="s">
        <v>602</v>
      </c>
      <c r="G107" s="2" t="s">
        <v>82</v>
      </c>
      <c r="H107" s="2" t="s">
        <v>73</v>
      </c>
      <c r="I107" s="2" t="s">
        <v>603</v>
      </c>
      <c r="J107" s="2" t="s">
        <v>564</v>
      </c>
      <c r="K107" s="2"/>
      <c r="L107" s="2" t="s">
        <v>604</v>
      </c>
      <c r="M107" s="2" t="s">
        <v>605</v>
      </c>
      <c r="N107" s="2" t="s">
        <v>77</v>
      </c>
      <c r="O107" s="2"/>
      <c r="P107" s="2">
        <v>1</v>
      </c>
      <c r="Q107" s="2" t="s">
        <v>568</v>
      </c>
      <c r="R107" s="4">
        <v>2.99</v>
      </c>
      <c r="S107" s="5">
        <v>2.99</v>
      </c>
      <c r="T107" s="5" t="s">
        <v>47</v>
      </c>
      <c r="U107" s="2" t="s">
        <v>48</v>
      </c>
      <c r="V107" s="3">
        <v>46254</v>
      </c>
      <c r="W107" s="2" t="s">
        <v>564</v>
      </c>
      <c r="X107" s="2"/>
      <c r="Y107" s="2" t="s">
        <v>255</v>
      </c>
      <c r="Z107" s="6">
        <v>742607955</v>
      </c>
      <c r="AA107" s="2" t="s">
        <v>68</v>
      </c>
      <c r="AB107" s="7"/>
      <c r="AC107" s="2"/>
      <c r="AD107" s="7"/>
      <c r="AE107" s="7"/>
      <c r="AF107" s="8"/>
      <c r="AG107" s="8"/>
    </row>
    <row r="108" spans="1:33" x14ac:dyDescent="0.25">
      <c r="A108" s="2" t="s">
        <v>569</v>
      </c>
      <c r="B108" s="3">
        <v>46252</v>
      </c>
      <c r="C108" s="3">
        <v>46255</v>
      </c>
      <c r="D108" s="2" t="s">
        <v>606</v>
      </c>
      <c r="E108" s="2" t="s">
        <v>561</v>
      </c>
      <c r="F108" s="2" t="s">
        <v>571</v>
      </c>
      <c r="G108" s="2" t="s">
        <v>106</v>
      </c>
      <c r="H108" s="2" t="s">
        <v>206</v>
      </c>
      <c r="I108" s="2" t="s">
        <v>572</v>
      </c>
      <c r="J108" s="2" t="s">
        <v>564</v>
      </c>
      <c r="K108" s="2"/>
      <c r="L108" s="2" t="s">
        <v>573</v>
      </c>
      <c r="M108" s="2" t="s">
        <v>607</v>
      </c>
      <c r="N108" s="2" t="s">
        <v>250</v>
      </c>
      <c r="O108" s="2"/>
      <c r="P108" s="2">
        <v>1</v>
      </c>
      <c r="Q108" s="2" t="s">
        <v>568</v>
      </c>
      <c r="R108" s="4">
        <v>2.8</v>
      </c>
      <c r="S108" s="5">
        <v>2.8</v>
      </c>
      <c r="T108" s="5" t="s">
        <v>47</v>
      </c>
      <c r="U108" s="2" t="s">
        <v>48</v>
      </c>
      <c r="V108" s="3">
        <v>46254</v>
      </c>
      <c r="W108" s="2" t="s">
        <v>564</v>
      </c>
      <c r="X108" s="2"/>
      <c r="Y108" s="2" t="s">
        <v>255</v>
      </c>
      <c r="Z108" s="6">
        <v>742607978</v>
      </c>
      <c r="AA108" s="2" t="s">
        <v>68</v>
      </c>
      <c r="AB108" s="7"/>
      <c r="AC108" s="2"/>
      <c r="AD108" s="7"/>
      <c r="AE108" s="7"/>
      <c r="AF108" s="8"/>
      <c r="AG108" s="8"/>
    </row>
    <row r="109" spans="1:33" x14ac:dyDescent="0.25">
      <c r="A109" s="2" t="s">
        <v>569</v>
      </c>
      <c r="B109" s="3">
        <v>46252</v>
      </c>
      <c r="C109" s="3">
        <v>46255</v>
      </c>
      <c r="D109" s="2" t="s">
        <v>606</v>
      </c>
      <c r="E109" s="2" t="s">
        <v>561</v>
      </c>
      <c r="F109" s="2" t="s">
        <v>571</v>
      </c>
      <c r="G109" s="2" t="s">
        <v>106</v>
      </c>
      <c r="H109" s="2" t="s">
        <v>206</v>
      </c>
      <c r="I109" s="2" t="s">
        <v>572</v>
      </c>
      <c r="J109" s="2" t="s">
        <v>564</v>
      </c>
      <c r="K109" s="2"/>
      <c r="L109" s="2" t="s">
        <v>573</v>
      </c>
      <c r="M109" s="2" t="s">
        <v>574</v>
      </c>
      <c r="N109" s="2" t="s">
        <v>575</v>
      </c>
      <c r="O109" s="2"/>
      <c r="P109" s="2">
        <v>1</v>
      </c>
      <c r="Q109" s="2" t="s">
        <v>568</v>
      </c>
      <c r="R109" s="4">
        <v>2.8</v>
      </c>
      <c r="S109" s="5">
        <v>2.8</v>
      </c>
      <c r="T109" s="5" t="s">
        <v>47</v>
      </c>
      <c r="U109" s="2" t="s">
        <v>48</v>
      </c>
      <c r="V109" s="3">
        <v>46254</v>
      </c>
      <c r="W109" s="2" t="s">
        <v>564</v>
      </c>
      <c r="X109" s="2"/>
      <c r="Y109" s="2" t="s">
        <v>255</v>
      </c>
      <c r="Z109" s="6">
        <v>742607979</v>
      </c>
      <c r="AA109" s="2" t="s">
        <v>68</v>
      </c>
      <c r="AB109" s="7"/>
      <c r="AC109" s="2"/>
      <c r="AD109" s="7"/>
      <c r="AE109" s="7"/>
      <c r="AF109" s="8"/>
      <c r="AG109" s="8"/>
    </row>
    <row r="110" spans="1:33" x14ac:dyDescent="0.25">
      <c r="A110" s="2" t="s">
        <v>569</v>
      </c>
      <c r="B110" s="3">
        <v>46252</v>
      </c>
      <c r="C110" s="3">
        <v>46255</v>
      </c>
      <c r="D110" s="2" t="s">
        <v>606</v>
      </c>
      <c r="E110" s="2" t="s">
        <v>561</v>
      </c>
      <c r="F110" s="2" t="s">
        <v>571</v>
      </c>
      <c r="G110" s="2" t="s">
        <v>106</v>
      </c>
      <c r="H110" s="2" t="s">
        <v>206</v>
      </c>
      <c r="I110" s="2" t="s">
        <v>576</v>
      </c>
      <c r="J110" s="2" t="s">
        <v>564</v>
      </c>
      <c r="K110" s="2"/>
      <c r="L110" s="2" t="s">
        <v>573</v>
      </c>
      <c r="M110" s="2" t="s">
        <v>577</v>
      </c>
      <c r="N110" s="2" t="s">
        <v>578</v>
      </c>
      <c r="O110" s="2"/>
      <c r="P110" s="2">
        <v>1</v>
      </c>
      <c r="Q110" s="2" t="s">
        <v>568</v>
      </c>
      <c r="R110" s="4">
        <v>2.8</v>
      </c>
      <c r="S110" s="5">
        <v>2.8</v>
      </c>
      <c r="T110" s="5" t="s">
        <v>47</v>
      </c>
      <c r="U110" s="2" t="s">
        <v>48</v>
      </c>
      <c r="V110" s="3">
        <v>46254</v>
      </c>
      <c r="W110" s="2" t="s">
        <v>564</v>
      </c>
      <c r="X110" s="2"/>
      <c r="Y110" s="2" t="s">
        <v>255</v>
      </c>
      <c r="Z110" s="6">
        <v>742607980</v>
      </c>
      <c r="AA110" s="2" t="s">
        <v>68</v>
      </c>
      <c r="AB110" s="7"/>
      <c r="AC110" s="2"/>
      <c r="AD110" s="7"/>
      <c r="AE110" s="7"/>
      <c r="AF110" s="8"/>
      <c r="AG110" s="8"/>
    </row>
    <row r="111" spans="1:33" x14ac:dyDescent="0.25">
      <c r="A111" s="2" t="s">
        <v>569</v>
      </c>
      <c r="B111" s="3">
        <v>46252</v>
      </c>
      <c r="C111" s="3">
        <v>46255</v>
      </c>
      <c r="D111" s="2" t="s">
        <v>606</v>
      </c>
      <c r="E111" s="2" t="s">
        <v>561</v>
      </c>
      <c r="F111" s="2" t="s">
        <v>571</v>
      </c>
      <c r="G111" s="2" t="s">
        <v>106</v>
      </c>
      <c r="H111" s="2" t="s">
        <v>206</v>
      </c>
      <c r="I111" s="2" t="s">
        <v>576</v>
      </c>
      <c r="J111" s="2" t="s">
        <v>564</v>
      </c>
      <c r="K111" s="2"/>
      <c r="L111" s="2" t="s">
        <v>573</v>
      </c>
      <c r="M111" s="2" t="s">
        <v>608</v>
      </c>
      <c r="N111" s="2" t="s">
        <v>609</v>
      </c>
      <c r="O111" s="2"/>
      <c r="P111" s="2">
        <v>1</v>
      </c>
      <c r="Q111" s="2" t="s">
        <v>568</v>
      </c>
      <c r="R111" s="4">
        <v>2.8</v>
      </c>
      <c r="S111" s="5">
        <v>2.8</v>
      </c>
      <c r="T111" s="5" t="s">
        <v>47</v>
      </c>
      <c r="U111" s="2" t="s">
        <v>48</v>
      </c>
      <c r="V111" s="3">
        <v>46254</v>
      </c>
      <c r="W111" s="2" t="s">
        <v>564</v>
      </c>
      <c r="X111" s="2"/>
      <c r="Y111" s="2" t="s">
        <v>255</v>
      </c>
      <c r="Z111" s="6">
        <v>742607981</v>
      </c>
      <c r="AA111" s="2" t="s">
        <v>68</v>
      </c>
      <c r="AB111" s="7"/>
      <c r="AC111" s="2"/>
      <c r="AD111" s="7"/>
      <c r="AE111" s="7"/>
      <c r="AF111" s="8"/>
      <c r="AG111" s="8"/>
    </row>
    <row r="112" spans="1:33" x14ac:dyDescent="0.25">
      <c r="A112" s="2" t="s">
        <v>569</v>
      </c>
      <c r="B112" s="3">
        <v>46252</v>
      </c>
      <c r="C112" s="3">
        <v>46254</v>
      </c>
      <c r="D112" s="2" t="s">
        <v>610</v>
      </c>
      <c r="E112" s="2" t="s">
        <v>561</v>
      </c>
      <c r="F112" s="2" t="s">
        <v>571</v>
      </c>
      <c r="G112" s="2" t="s">
        <v>106</v>
      </c>
      <c r="H112" s="2" t="s">
        <v>206</v>
      </c>
      <c r="I112" s="2" t="s">
        <v>579</v>
      </c>
      <c r="J112" s="2" t="s">
        <v>564</v>
      </c>
      <c r="K112" s="2"/>
      <c r="L112" s="2" t="s">
        <v>573</v>
      </c>
      <c r="M112" s="2" t="s">
        <v>582</v>
      </c>
      <c r="N112" s="2" t="s">
        <v>378</v>
      </c>
      <c r="O112" s="2"/>
      <c r="P112" s="2">
        <v>1</v>
      </c>
      <c r="Q112" s="2" t="s">
        <v>568</v>
      </c>
      <c r="R112" s="4">
        <v>2.8</v>
      </c>
      <c r="S112" s="5">
        <v>2.8</v>
      </c>
      <c r="T112" s="5" t="s">
        <v>47</v>
      </c>
      <c r="U112" s="2" t="s">
        <v>48</v>
      </c>
      <c r="V112" s="3">
        <v>46254</v>
      </c>
      <c r="W112" s="2" t="s">
        <v>564</v>
      </c>
      <c r="X112" s="2"/>
      <c r="Y112" s="2" t="s">
        <v>255</v>
      </c>
      <c r="Z112" s="6">
        <v>742607983</v>
      </c>
      <c r="AA112" s="2" t="s">
        <v>68</v>
      </c>
      <c r="AB112" s="7"/>
      <c r="AC112" s="2"/>
      <c r="AD112" s="7"/>
      <c r="AE112" s="7"/>
      <c r="AF112" s="8"/>
      <c r="AG112" s="8"/>
    </row>
    <row r="113" spans="1:33" x14ac:dyDescent="0.25">
      <c r="A113" s="2" t="s">
        <v>611</v>
      </c>
      <c r="B113" s="3">
        <v>46252</v>
      </c>
      <c r="C113" s="3">
        <v>46254</v>
      </c>
      <c r="D113" s="2" t="s">
        <v>612</v>
      </c>
      <c r="E113" s="2" t="s">
        <v>613</v>
      </c>
      <c r="F113" s="2" t="s">
        <v>614</v>
      </c>
      <c r="G113" s="2" t="s">
        <v>106</v>
      </c>
      <c r="H113" s="2" t="s">
        <v>615</v>
      </c>
      <c r="I113" s="2"/>
      <c r="J113" s="2" t="s">
        <v>616</v>
      </c>
      <c r="K113" s="2"/>
      <c r="L113" s="2" t="s">
        <v>617</v>
      </c>
      <c r="M113" s="2" t="s">
        <v>618</v>
      </c>
      <c r="N113" s="2" t="s">
        <v>618</v>
      </c>
      <c r="O113" s="2"/>
      <c r="P113" s="2">
        <v>5</v>
      </c>
      <c r="Q113" s="2" t="s">
        <v>46</v>
      </c>
      <c r="R113" s="4">
        <v>2.64</v>
      </c>
      <c r="S113" s="5">
        <v>1.32</v>
      </c>
      <c r="T113" s="5" t="s">
        <v>47</v>
      </c>
      <c r="U113" s="2" t="s">
        <v>48</v>
      </c>
      <c r="V113" s="3">
        <v>46254</v>
      </c>
      <c r="W113" s="2" t="s">
        <v>619</v>
      </c>
      <c r="X113" s="2"/>
      <c r="Y113" s="2" t="s">
        <v>620</v>
      </c>
      <c r="Z113" s="6">
        <v>672600993</v>
      </c>
      <c r="AA113" s="2" t="s">
        <v>68</v>
      </c>
      <c r="AB113" s="7"/>
      <c r="AC113" s="2"/>
      <c r="AD113" s="7"/>
      <c r="AE113" s="7"/>
      <c r="AF113" s="8"/>
      <c r="AG113" s="8"/>
    </row>
    <row r="114" spans="1:33" x14ac:dyDescent="0.25">
      <c r="A114" s="2" t="s">
        <v>418</v>
      </c>
      <c r="B114" s="3">
        <v>46242</v>
      </c>
      <c r="C114" s="3">
        <v>46253</v>
      </c>
      <c r="D114" s="2" t="s">
        <v>621</v>
      </c>
      <c r="E114" s="2" t="s">
        <v>622</v>
      </c>
      <c r="F114" s="2" t="s">
        <v>623</v>
      </c>
      <c r="G114" s="2" t="s">
        <v>37</v>
      </c>
      <c r="H114" s="2" t="s">
        <v>38</v>
      </c>
      <c r="I114" s="2" t="s">
        <v>624</v>
      </c>
      <c r="J114" s="2" t="s">
        <v>625</v>
      </c>
      <c r="K114" s="2" t="s">
        <v>626</v>
      </c>
      <c r="L114" s="2" t="s">
        <v>627</v>
      </c>
      <c r="M114" s="2" t="s">
        <v>628</v>
      </c>
      <c r="N114" s="2" t="s">
        <v>629</v>
      </c>
      <c r="O114" s="2" t="s">
        <v>630</v>
      </c>
      <c r="P114" s="2">
        <v>20</v>
      </c>
      <c r="Q114" s="2" t="s">
        <v>253</v>
      </c>
      <c r="R114" s="4">
        <v>2.41</v>
      </c>
      <c r="S114" s="5">
        <v>2.41</v>
      </c>
      <c r="T114" s="5">
        <f t="shared" ref="T114:T115" si="1">S114*P114</f>
        <v>48.2</v>
      </c>
      <c r="U114" s="2" t="str">
        <f t="shared" ref="U114:U151" si="2">IF(T114="NA","FOC","NON-FOC")</f>
        <v>NON-FOC</v>
      </c>
      <c r="V114" s="3">
        <v>46254</v>
      </c>
      <c r="W114" s="2" t="str">
        <f>VLOOKUP(E114&amp;"_"&amp;Q114,'[1].'!$A$2:$B$30,2,FALSE)</f>
        <v>SHANK</v>
      </c>
      <c r="X114" s="2" t="s">
        <v>631</v>
      </c>
      <c r="Y114" s="2" t="s">
        <v>50</v>
      </c>
      <c r="Z114" s="6">
        <v>712607584</v>
      </c>
      <c r="AA114" s="2" t="s">
        <v>51</v>
      </c>
      <c r="AB114" s="7" t="s">
        <v>52</v>
      </c>
      <c r="AC114" s="2" t="s">
        <v>632</v>
      </c>
      <c r="AD114" s="7" t="s">
        <v>633</v>
      </c>
      <c r="AE114" s="7"/>
      <c r="AF114" s="8"/>
      <c r="AG114" s="8"/>
    </row>
    <row r="115" spans="1:33" x14ac:dyDescent="0.25">
      <c r="A115" s="2" t="s">
        <v>418</v>
      </c>
      <c r="B115" s="3">
        <v>46242</v>
      </c>
      <c r="C115" s="3">
        <v>46253</v>
      </c>
      <c r="D115" s="2" t="s">
        <v>621</v>
      </c>
      <c r="E115" s="2" t="s">
        <v>622</v>
      </c>
      <c r="F115" s="2" t="s">
        <v>623</v>
      </c>
      <c r="G115" s="2" t="s">
        <v>37</v>
      </c>
      <c r="H115" s="2" t="s">
        <v>38</v>
      </c>
      <c r="I115" s="2" t="s">
        <v>634</v>
      </c>
      <c r="J115" s="2" t="s">
        <v>625</v>
      </c>
      <c r="K115" s="2" t="s">
        <v>626</v>
      </c>
      <c r="L115" s="2" t="s">
        <v>627</v>
      </c>
      <c r="M115" s="2" t="s">
        <v>635</v>
      </c>
      <c r="N115" s="2" t="s">
        <v>636</v>
      </c>
      <c r="O115" s="2" t="s">
        <v>630</v>
      </c>
      <c r="P115" s="2">
        <v>20</v>
      </c>
      <c r="Q115" s="2" t="s">
        <v>253</v>
      </c>
      <c r="R115" s="4">
        <v>2.41</v>
      </c>
      <c r="S115" s="5">
        <v>2.41</v>
      </c>
      <c r="T115" s="5">
        <f t="shared" si="1"/>
        <v>48.2</v>
      </c>
      <c r="U115" s="2" t="str">
        <f t="shared" si="2"/>
        <v>NON-FOC</v>
      </c>
      <c r="V115" s="3">
        <v>46254</v>
      </c>
      <c r="W115" s="2" t="str">
        <f>VLOOKUP(E115&amp;"_"&amp;Q115,'[1].'!$A$2:$B$30,2,FALSE)</f>
        <v>SHANK</v>
      </c>
      <c r="X115" s="2" t="s">
        <v>631</v>
      </c>
      <c r="Y115" s="2" t="s">
        <v>50</v>
      </c>
      <c r="Z115" s="6">
        <v>712607586</v>
      </c>
      <c r="AA115" s="2" t="s">
        <v>51</v>
      </c>
      <c r="AB115" s="7" t="s">
        <v>637</v>
      </c>
      <c r="AC115" s="2" t="s">
        <v>638</v>
      </c>
      <c r="AD115" s="7" t="s">
        <v>633</v>
      </c>
      <c r="AE115" s="7"/>
      <c r="AF115" s="8"/>
      <c r="AG115" s="8"/>
    </row>
    <row r="116" spans="1:33" x14ac:dyDescent="0.25">
      <c r="A116" s="2" t="s">
        <v>418</v>
      </c>
      <c r="B116" s="3">
        <v>46242</v>
      </c>
      <c r="C116" s="3">
        <v>46253</v>
      </c>
      <c r="D116" s="2" t="s">
        <v>639</v>
      </c>
      <c r="E116" s="2" t="s">
        <v>622</v>
      </c>
      <c r="F116" s="2" t="s">
        <v>623</v>
      </c>
      <c r="G116" s="2" t="s">
        <v>37</v>
      </c>
      <c r="H116" s="2" t="s">
        <v>38</v>
      </c>
      <c r="I116" s="2" t="s">
        <v>640</v>
      </c>
      <c r="J116" s="2" t="s">
        <v>625</v>
      </c>
      <c r="K116" s="2" t="s">
        <v>626</v>
      </c>
      <c r="L116" s="2" t="s">
        <v>627</v>
      </c>
      <c r="M116" s="2" t="s">
        <v>641</v>
      </c>
      <c r="N116" s="2" t="s">
        <v>642</v>
      </c>
      <c r="O116" s="2" t="s">
        <v>630</v>
      </c>
      <c r="P116" s="2">
        <v>15</v>
      </c>
      <c r="Q116" s="2" t="s">
        <v>253</v>
      </c>
      <c r="R116" s="4">
        <v>2.41</v>
      </c>
      <c r="S116" s="5">
        <v>2.41</v>
      </c>
      <c r="T116" s="5">
        <f>S116*P116</f>
        <v>36.150000000000006</v>
      </c>
      <c r="U116" s="2" t="str">
        <f t="shared" si="2"/>
        <v>NON-FOC</v>
      </c>
      <c r="V116" s="3">
        <v>46254</v>
      </c>
      <c r="W116" s="2" t="str">
        <f>VLOOKUP(E116&amp;"_"&amp;Q116,'[1].'!$A$2:$B$30,2,FALSE)</f>
        <v>SHANK</v>
      </c>
      <c r="X116" s="2" t="s">
        <v>631</v>
      </c>
      <c r="Y116" s="2" t="s">
        <v>50</v>
      </c>
      <c r="Z116" s="6">
        <v>712607665</v>
      </c>
      <c r="AA116" s="2" t="s">
        <v>51</v>
      </c>
      <c r="AB116" s="7" t="s">
        <v>637</v>
      </c>
      <c r="AC116" s="2" t="s">
        <v>638</v>
      </c>
      <c r="AD116" s="7" t="s">
        <v>633</v>
      </c>
      <c r="AE116" s="7"/>
      <c r="AF116" s="8"/>
      <c r="AG116" s="8"/>
    </row>
    <row r="117" spans="1:33" x14ac:dyDescent="0.25">
      <c r="A117" s="2" t="s">
        <v>418</v>
      </c>
      <c r="B117" s="3">
        <v>46242</v>
      </c>
      <c r="C117" s="3">
        <v>46253</v>
      </c>
      <c r="D117" s="2" t="s">
        <v>639</v>
      </c>
      <c r="E117" s="2" t="s">
        <v>622</v>
      </c>
      <c r="F117" s="2" t="s">
        <v>623</v>
      </c>
      <c r="G117" s="2" t="s">
        <v>37</v>
      </c>
      <c r="H117" s="2" t="s">
        <v>38</v>
      </c>
      <c r="I117" s="2" t="s">
        <v>643</v>
      </c>
      <c r="J117" s="2" t="s">
        <v>625</v>
      </c>
      <c r="K117" s="2" t="s">
        <v>626</v>
      </c>
      <c r="L117" s="2" t="s">
        <v>627</v>
      </c>
      <c r="M117" s="2" t="s">
        <v>644</v>
      </c>
      <c r="N117" s="2" t="s">
        <v>645</v>
      </c>
      <c r="O117" s="2" t="s">
        <v>646</v>
      </c>
      <c r="P117" s="2">
        <v>35</v>
      </c>
      <c r="Q117" s="2" t="s">
        <v>253</v>
      </c>
      <c r="R117" s="4">
        <v>2.41</v>
      </c>
      <c r="S117" s="5">
        <v>2.41</v>
      </c>
      <c r="T117" s="5">
        <f>S117*P117</f>
        <v>84.350000000000009</v>
      </c>
      <c r="U117" s="2" t="str">
        <f t="shared" si="2"/>
        <v>NON-FOC</v>
      </c>
      <c r="V117" s="3">
        <v>46254</v>
      </c>
      <c r="W117" s="2" t="str">
        <f>VLOOKUP(E117&amp;"_"&amp;Q117,'[1].'!$A$2:$B$30,2,FALSE)</f>
        <v>SHANK</v>
      </c>
      <c r="X117" s="2" t="s">
        <v>631</v>
      </c>
      <c r="Y117" s="2" t="s">
        <v>50</v>
      </c>
      <c r="Z117" s="6">
        <v>712607666</v>
      </c>
      <c r="AA117" s="2" t="s">
        <v>51</v>
      </c>
      <c r="AB117" s="7" t="s">
        <v>637</v>
      </c>
      <c r="AC117" s="2" t="s">
        <v>638</v>
      </c>
      <c r="AD117" s="7" t="s">
        <v>633</v>
      </c>
      <c r="AE117" s="7"/>
      <c r="AF117" s="8"/>
      <c r="AG117" s="8"/>
    </row>
    <row r="118" spans="1:33" x14ac:dyDescent="0.25">
      <c r="A118" s="2" t="s">
        <v>418</v>
      </c>
      <c r="B118" s="3">
        <v>46242</v>
      </c>
      <c r="C118" s="3">
        <v>46253</v>
      </c>
      <c r="D118" s="2" t="s">
        <v>639</v>
      </c>
      <c r="E118" s="2" t="s">
        <v>622</v>
      </c>
      <c r="F118" s="2" t="s">
        <v>623</v>
      </c>
      <c r="G118" s="2" t="s">
        <v>37</v>
      </c>
      <c r="H118" s="2" t="s">
        <v>38</v>
      </c>
      <c r="I118" s="2" t="s">
        <v>647</v>
      </c>
      <c r="J118" s="2" t="s">
        <v>625</v>
      </c>
      <c r="K118" s="2" t="s">
        <v>626</v>
      </c>
      <c r="L118" s="2" t="s">
        <v>627</v>
      </c>
      <c r="M118" s="2" t="s">
        <v>648</v>
      </c>
      <c r="N118" s="2" t="s">
        <v>649</v>
      </c>
      <c r="O118" s="2" t="s">
        <v>646</v>
      </c>
      <c r="P118" s="2">
        <v>20</v>
      </c>
      <c r="Q118" s="2" t="s">
        <v>253</v>
      </c>
      <c r="R118" s="4">
        <v>2.41</v>
      </c>
      <c r="S118" s="5">
        <v>2.41</v>
      </c>
      <c r="T118" s="5">
        <f>S118*P118</f>
        <v>48.2</v>
      </c>
      <c r="U118" s="2" t="str">
        <f t="shared" si="2"/>
        <v>NON-FOC</v>
      </c>
      <c r="V118" s="3">
        <v>46254</v>
      </c>
      <c r="W118" s="2" t="str">
        <f>VLOOKUP(E118&amp;"_"&amp;Q118,'[1].'!$A$2:$B$30,2,FALSE)</f>
        <v>SHANK</v>
      </c>
      <c r="X118" s="2" t="s">
        <v>631</v>
      </c>
      <c r="Y118" s="2" t="s">
        <v>50</v>
      </c>
      <c r="Z118" s="6">
        <v>712607667</v>
      </c>
      <c r="AA118" s="2" t="s">
        <v>51</v>
      </c>
      <c r="AB118" s="7" t="s">
        <v>637</v>
      </c>
      <c r="AC118" s="2" t="s">
        <v>638</v>
      </c>
      <c r="AD118" s="7" t="s">
        <v>633</v>
      </c>
      <c r="AE118" s="7"/>
      <c r="AF118" s="8"/>
      <c r="AG118" s="8"/>
    </row>
    <row r="119" spans="1:33" x14ac:dyDescent="0.25">
      <c r="A119" s="2" t="s">
        <v>55</v>
      </c>
      <c r="B119" s="3">
        <v>46234</v>
      </c>
      <c r="C119" s="3">
        <v>46254</v>
      </c>
      <c r="D119" s="2" t="s">
        <v>650</v>
      </c>
      <c r="E119" s="2" t="s">
        <v>651</v>
      </c>
      <c r="F119" s="2" t="s">
        <v>184</v>
      </c>
      <c r="G119" s="2" t="s">
        <v>58</v>
      </c>
      <c r="H119" s="2" t="s">
        <v>73</v>
      </c>
      <c r="I119" s="2" t="s">
        <v>185</v>
      </c>
      <c r="J119" s="2" t="s">
        <v>652</v>
      </c>
      <c r="K119" s="2"/>
      <c r="L119" s="2" t="s">
        <v>653</v>
      </c>
      <c r="M119" s="2" t="s">
        <v>654</v>
      </c>
      <c r="N119" s="2" t="s">
        <v>655</v>
      </c>
      <c r="O119" s="2" t="s">
        <v>656</v>
      </c>
      <c r="P119" s="2">
        <v>4</v>
      </c>
      <c r="Q119" s="2" t="s">
        <v>253</v>
      </c>
      <c r="R119" s="4">
        <v>1.452</v>
      </c>
      <c r="S119" s="5">
        <v>1.452</v>
      </c>
      <c r="T119" s="5">
        <f>ROUND(S119*P119,2)</f>
        <v>5.81</v>
      </c>
      <c r="U119" s="2" t="str">
        <f t="shared" si="2"/>
        <v>NON-FOC</v>
      </c>
      <c r="V119" s="3">
        <v>46254</v>
      </c>
      <c r="W119" s="2" t="str">
        <f>VLOOKUP(E119&amp;"_"&amp;Q119,'[1].'!$A$2:$B$30,2,FALSE)</f>
        <v>SHANK</v>
      </c>
      <c r="X119" s="2" t="s">
        <v>657</v>
      </c>
      <c r="Y119" s="2" t="s">
        <v>50</v>
      </c>
      <c r="Z119" s="6">
        <v>712607688</v>
      </c>
      <c r="AA119" s="2" t="s">
        <v>68</v>
      </c>
      <c r="AB119" s="7"/>
      <c r="AC119" s="2"/>
      <c r="AD119" s="7"/>
      <c r="AE119" s="7"/>
      <c r="AF119" s="8"/>
      <c r="AG119" s="8"/>
    </row>
    <row r="120" spans="1:33" x14ac:dyDescent="0.25">
      <c r="A120" s="2" t="s">
        <v>55</v>
      </c>
      <c r="B120" s="3">
        <v>46234</v>
      </c>
      <c r="C120" s="3">
        <v>46254</v>
      </c>
      <c r="D120" s="2" t="s">
        <v>650</v>
      </c>
      <c r="E120" s="2" t="s">
        <v>651</v>
      </c>
      <c r="F120" s="2" t="s">
        <v>184</v>
      </c>
      <c r="G120" s="2" t="s">
        <v>58</v>
      </c>
      <c r="H120" s="2" t="s">
        <v>73</v>
      </c>
      <c r="I120" s="2" t="s">
        <v>185</v>
      </c>
      <c r="J120" s="2" t="s">
        <v>652</v>
      </c>
      <c r="K120" s="2"/>
      <c r="L120" s="2" t="s">
        <v>653</v>
      </c>
      <c r="M120" s="2" t="s">
        <v>654</v>
      </c>
      <c r="N120" s="2" t="s">
        <v>655</v>
      </c>
      <c r="O120" s="2" t="s">
        <v>658</v>
      </c>
      <c r="P120" s="2">
        <v>5</v>
      </c>
      <c r="Q120" s="2" t="s">
        <v>253</v>
      </c>
      <c r="R120" s="4">
        <v>1.452</v>
      </c>
      <c r="S120" s="5">
        <v>1.452</v>
      </c>
      <c r="T120" s="5">
        <f t="shared" ref="T120:T136" si="3">ROUND(S120*P120,2)</f>
        <v>7.26</v>
      </c>
      <c r="U120" s="2" t="str">
        <f t="shared" si="2"/>
        <v>NON-FOC</v>
      </c>
      <c r="V120" s="3">
        <v>46254</v>
      </c>
      <c r="W120" s="2" t="str">
        <f>VLOOKUP(E120&amp;"_"&amp;Q120,'[1].'!$A$2:$B$30,2,FALSE)</f>
        <v>SHANK</v>
      </c>
      <c r="X120" s="2" t="s">
        <v>657</v>
      </c>
      <c r="Y120" s="2" t="s">
        <v>50</v>
      </c>
      <c r="Z120" s="6">
        <v>712607689</v>
      </c>
      <c r="AA120" s="2" t="s">
        <v>68</v>
      </c>
      <c r="AB120" s="7"/>
      <c r="AC120" s="2"/>
      <c r="AD120" s="7"/>
      <c r="AE120" s="7"/>
      <c r="AF120" s="8"/>
      <c r="AG120" s="8"/>
    </row>
    <row r="121" spans="1:33" x14ac:dyDescent="0.25">
      <c r="A121" s="2" t="s">
        <v>55</v>
      </c>
      <c r="B121" s="3">
        <v>46234</v>
      </c>
      <c r="C121" s="3">
        <v>46254</v>
      </c>
      <c r="D121" s="2" t="s">
        <v>650</v>
      </c>
      <c r="E121" s="2" t="s">
        <v>651</v>
      </c>
      <c r="F121" s="2" t="s">
        <v>184</v>
      </c>
      <c r="G121" s="2" t="s">
        <v>58</v>
      </c>
      <c r="H121" s="2" t="s">
        <v>73</v>
      </c>
      <c r="I121" s="2" t="s">
        <v>185</v>
      </c>
      <c r="J121" s="2" t="s">
        <v>652</v>
      </c>
      <c r="K121" s="2"/>
      <c r="L121" s="2" t="s">
        <v>653</v>
      </c>
      <c r="M121" s="2" t="s">
        <v>654</v>
      </c>
      <c r="N121" s="2" t="s">
        <v>655</v>
      </c>
      <c r="O121" s="2" t="s">
        <v>659</v>
      </c>
      <c r="P121" s="2">
        <v>3</v>
      </c>
      <c r="Q121" s="2" t="s">
        <v>253</v>
      </c>
      <c r="R121" s="4">
        <v>1.452</v>
      </c>
      <c r="S121" s="5">
        <v>1.452</v>
      </c>
      <c r="T121" s="5">
        <f t="shared" si="3"/>
        <v>4.3600000000000003</v>
      </c>
      <c r="U121" s="2" t="str">
        <f t="shared" si="2"/>
        <v>NON-FOC</v>
      </c>
      <c r="V121" s="3">
        <v>46254</v>
      </c>
      <c r="W121" s="2" t="str">
        <f>VLOOKUP(E121&amp;"_"&amp;Q121,'[1].'!$A$2:$B$30,2,FALSE)</f>
        <v>SHANK</v>
      </c>
      <c r="X121" s="2" t="s">
        <v>657</v>
      </c>
      <c r="Y121" s="2" t="s">
        <v>50</v>
      </c>
      <c r="Z121" s="6">
        <v>712607690</v>
      </c>
      <c r="AA121" s="2" t="s">
        <v>68</v>
      </c>
      <c r="AB121" s="7"/>
      <c r="AC121" s="2"/>
      <c r="AD121" s="7"/>
      <c r="AE121" s="7"/>
      <c r="AF121" s="8"/>
      <c r="AG121" s="8"/>
    </row>
    <row r="122" spans="1:33" x14ac:dyDescent="0.25">
      <c r="A122" s="2" t="s">
        <v>660</v>
      </c>
      <c r="B122" s="3">
        <v>46234</v>
      </c>
      <c r="C122" s="3">
        <v>46254</v>
      </c>
      <c r="D122" s="2" t="s">
        <v>661</v>
      </c>
      <c r="E122" s="2" t="s">
        <v>651</v>
      </c>
      <c r="F122" s="2" t="s">
        <v>328</v>
      </c>
      <c r="G122" s="2" t="s">
        <v>82</v>
      </c>
      <c r="H122" s="2" t="s">
        <v>73</v>
      </c>
      <c r="I122" s="2" t="s">
        <v>662</v>
      </c>
      <c r="J122" s="2" t="s">
        <v>652</v>
      </c>
      <c r="K122" s="2" t="s">
        <v>663</v>
      </c>
      <c r="L122" s="2" t="s">
        <v>664</v>
      </c>
      <c r="M122" s="2" t="s">
        <v>665</v>
      </c>
      <c r="N122" s="2" t="s">
        <v>666</v>
      </c>
      <c r="O122" s="2" t="s">
        <v>667</v>
      </c>
      <c r="P122" s="2">
        <v>3</v>
      </c>
      <c r="Q122" s="2" t="s">
        <v>253</v>
      </c>
      <c r="R122" s="4">
        <v>1.452</v>
      </c>
      <c r="S122" s="5">
        <v>1.452</v>
      </c>
      <c r="T122" s="5">
        <f t="shared" si="3"/>
        <v>4.3600000000000003</v>
      </c>
      <c r="U122" s="2" t="str">
        <f t="shared" si="2"/>
        <v>NON-FOC</v>
      </c>
      <c r="V122" s="3">
        <v>46254</v>
      </c>
      <c r="W122" s="2" t="str">
        <f>VLOOKUP(E122&amp;"_"&amp;Q122,'[1].'!$A$2:$B$30,2,FALSE)</f>
        <v>SHANK</v>
      </c>
      <c r="X122" s="2" t="s">
        <v>668</v>
      </c>
      <c r="Y122" s="2" t="s">
        <v>50</v>
      </c>
      <c r="Z122" s="6">
        <v>712607698</v>
      </c>
      <c r="AA122" s="2" t="s">
        <v>68</v>
      </c>
      <c r="AB122" s="7"/>
      <c r="AC122" s="2"/>
      <c r="AD122" s="7"/>
      <c r="AE122" s="7"/>
      <c r="AF122" s="8"/>
      <c r="AG122" s="8"/>
    </row>
    <row r="123" spans="1:33" x14ac:dyDescent="0.25">
      <c r="A123" s="2" t="s">
        <v>660</v>
      </c>
      <c r="B123" s="3">
        <v>46234</v>
      </c>
      <c r="C123" s="3">
        <v>46254</v>
      </c>
      <c r="D123" s="2" t="s">
        <v>661</v>
      </c>
      <c r="E123" s="2" t="s">
        <v>651</v>
      </c>
      <c r="F123" s="2" t="s">
        <v>328</v>
      </c>
      <c r="G123" s="2" t="s">
        <v>82</v>
      </c>
      <c r="H123" s="2" t="s">
        <v>73</v>
      </c>
      <c r="I123" s="2" t="s">
        <v>662</v>
      </c>
      <c r="J123" s="2" t="s">
        <v>652</v>
      </c>
      <c r="K123" s="2" t="s">
        <v>663</v>
      </c>
      <c r="L123" s="2" t="s">
        <v>664</v>
      </c>
      <c r="M123" s="2" t="s">
        <v>665</v>
      </c>
      <c r="N123" s="2" t="s">
        <v>666</v>
      </c>
      <c r="O123" s="2" t="s">
        <v>669</v>
      </c>
      <c r="P123" s="2">
        <v>3</v>
      </c>
      <c r="Q123" s="2" t="s">
        <v>253</v>
      </c>
      <c r="R123" s="4">
        <v>1.452</v>
      </c>
      <c r="S123" s="5">
        <v>1.452</v>
      </c>
      <c r="T123" s="5">
        <f t="shared" si="3"/>
        <v>4.3600000000000003</v>
      </c>
      <c r="U123" s="2" t="str">
        <f t="shared" si="2"/>
        <v>NON-FOC</v>
      </c>
      <c r="V123" s="3">
        <v>46254</v>
      </c>
      <c r="W123" s="2" t="str">
        <f>VLOOKUP(E123&amp;"_"&amp;Q123,'[1].'!$A$2:$B$30,2,FALSE)</f>
        <v>SHANK</v>
      </c>
      <c r="X123" s="2" t="s">
        <v>668</v>
      </c>
      <c r="Y123" s="2" t="s">
        <v>50</v>
      </c>
      <c r="Z123" s="6">
        <v>712607699</v>
      </c>
      <c r="AA123" s="2" t="s">
        <v>68</v>
      </c>
      <c r="AB123" s="7"/>
      <c r="AC123" s="2"/>
      <c r="AD123" s="7"/>
      <c r="AE123" s="7"/>
      <c r="AF123" s="8"/>
      <c r="AG123" s="8"/>
    </row>
    <row r="124" spans="1:33" x14ac:dyDescent="0.25">
      <c r="A124" s="2" t="s">
        <v>660</v>
      </c>
      <c r="B124" s="3">
        <v>46234</v>
      </c>
      <c r="C124" s="3">
        <v>46254</v>
      </c>
      <c r="D124" s="2" t="s">
        <v>661</v>
      </c>
      <c r="E124" s="2" t="s">
        <v>651</v>
      </c>
      <c r="F124" s="2" t="s">
        <v>328</v>
      </c>
      <c r="G124" s="2" t="s">
        <v>82</v>
      </c>
      <c r="H124" s="2" t="s">
        <v>73</v>
      </c>
      <c r="I124" s="2" t="s">
        <v>662</v>
      </c>
      <c r="J124" s="2" t="s">
        <v>652</v>
      </c>
      <c r="K124" s="2" t="s">
        <v>663</v>
      </c>
      <c r="L124" s="2" t="s">
        <v>664</v>
      </c>
      <c r="M124" s="2" t="s">
        <v>665</v>
      </c>
      <c r="N124" s="2" t="s">
        <v>666</v>
      </c>
      <c r="O124" s="2" t="s">
        <v>670</v>
      </c>
      <c r="P124" s="2">
        <v>6</v>
      </c>
      <c r="Q124" s="2" t="s">
        <v>253</v>
      </c>
      <c r="R124" s="4">
        <v>1.452</v>
      </c>
      <c r="S124" s="5">
        <v>1.452</v>
      </c>
      <c r="T124" s="5">
        <f t="shared" si="3"/>
        <v>8.7100000000000009</v>
      </c>
      <c r="U124" s="2" t="str">
        <f t="shared" si="2"/>
        <v>NON-FOC</v>
      </c>
      <c r="V124" s="3">
        <v>46254</v>
      </c>
      <c r="W124" s="2" t="str">
        <f>VLOOKUP(E124&amp;"_"&amp;Q124,'[1].'!$A$2:$B$30,2,FALSE)</f>
        <v>SHANK</v>
      </c>
      <c r="X124" s="2" t="s">
        <v>668</v>
      </c>
      <c r="Y124" s="2" t="s">
        <v>50</v>
      </c>
      <c r="Z124" s="6">
        <v>712607700</v>
      </c>
      <c r="AA124" s="2" t="s">
        <v>68</v>
      </c>
      <c r="AB124" s="7"/>
      <c r="AC124" s="2"/>
      <c r="AD124" s="7"/>
      <c r="AE124" s="7"/>
      <c r="AF124" s="8"/>
      <c r="AG124" s="8"/>
    </row>
    <row r="125" spans="1:33" x14ac:dyDescent="0.25">
      <c r="A125" s="2" t="s">
        <v>660</v>
      </c>
      <c r="B125" s="3">
        <v>46234</v>
      </c>
      <c r="C125" s="3">
        <v>46254</v>
      </c>
      <c r="D125" s="2" t="s">
        <v>661</v>
      </c>
      <c r="E125" s="2" t="s">
        <v>651</v>
      </c>
      <c r="F125" s="2" t="s">
        <v>328</v>
      </c>
      <c r="G125" s="2" t="s">
        <v>82</v>
      </c>
      <c r="H125" s="2" t="s">
        <v>73</v>
      </c>
      <c r="I125" s="2" t="s">
        <v>662</v>
      </c>
      <c r="J125" s="2" t="s">
        <v>652</v>
      </c>
      <c r="K125" s="2" t="s">
        <v>663</v>
      </c>
      <c r="L125" s="2" t="s">
        <v>664</v>
      </c>
      <c r="M125" s="2" t="s">
        <v>665</v>
      </c>
      <c r="N125" s="2" t="s">
        <v>666</v>
      </c>
      <c r="O125" s="2" t="s">
        <v>671</v>
      </c>
      <c r="P125" s="2">
        <v>3</v>
      </c>
      <c r="Q125" s="2" t="s">
        <v>253</v>
      </c>
      <c r="R125" s="4">
        <v>1.452</v>
      </c>
      <c r="S125" s="5">
        <v>1.452</v>
      </c>
      <c r="T125" s="5">
        <f t="shared" si="3"/>
        <v>4.3600000000000003</v>
      </c>
      <c r="U125" s="2" t="str">
        <f t="shared" si="2"/>
        <v>NON-FOC</v>
      </c>
      <c r="V125" s="3">
        <v>46254</v>
      </c>
      <c r="W125" s="2" t="str">
        <f>VLOOKUP(E125&amp;"_"&amp;Q125,'[1].'!$A$2:$B$30,2,FALSE)</f>
        <v>SHANK</v>
      </c>
      <c r="X125" s="2" t="s">
        <v>668</v>
      </c>
      <c r="Y125" s="2" t="s">
        <v>50</v>
      </c>
      <c r="Z125" s="6">
        <v>712607701</v>
      </c>
      <c r="AA125" s="2" t="s">
        <v>68</v>
      </c>
      <c r="AB125" s="7"/>
      <c r="AC125" s="2"/>
      <c r="AD125" s="7"/>
      <c r="AE125" s="7"/>
      <c r="AF125" s="8"/>
      <c r="AG125" s="8"/>
    </row>
    <row r="126" spans="1:33" x14ac:dyDescent="0.25">
      <c r="A126" s="2" t="s">
        <v>302</v>
      </c>
      <c r="B126" s="3">
        <v>46234</v>
      </c>
      <c r="C126" s="3">
        <v>46254</v>
      </c>
      <c r="D126" s="2" t="s">
        <v>672</v>
      </c>
      <c r="E126" s="2" t="s">
        <v>651</v>
      </c>
      <c r="F126" s="2" t="s">
        <v>328</v>
      </c>
      <c r="G126" s="2" t="s">
        <v>58</v>
      </c>
      <c r="H126" s="2" t="s">
        <v>315</v>
      </c>
      <c r="I126" s="2" t="s">
        <v>673</v>
      </c>
      <c r="J126" s="2" t="s">
        <v>652</v>
      </c>
      <c r="K126" s="2"/>
      <c r="L126" s="2" t="s">
        <v>653</v>
      </c>
      <c r="M126" s="2" t="s">
        <v>674</v>
      </c>
      <c r="N126" s="2" t="s">
        <v>666</v>
      </c>
      <c r="O126" s="2" t="s">
        <v>675</v>
      </c>
      <c r="P126" s="2">
        <v>5</v>
      </c>
      <c r="Q126" s="2" t="s">
        <v>253</v>
      </c>
      <c r="R126" s="4">
        <v>2.1680000000000001</v>
      </c>
      <c r="S126" s="5">
        <v>2.1680000000000001</v>
      </c>
      <c r="T126" s="5">
        <f t="shared" si="3"/>
        <v>10.84</v>
      </c>
      <c r="U126" s="2" t="str">
        <f t="shared" si="2"/>
        <v>NON-FOC</v>
      </c>
      <c r="V126" s="3">
        <v>46254</v>
      </c>
      <c r="W126" s="2" t="str">
        <f>VLOOKUP(E126&amp;"_"&amp;Q126,'[1].'!$A$2:$B$30,2,FALSE)</f>
        <v>SHANK</v>
      </c>
      <c r="X126" s="2" t="s">
        <v>668</v>
      </c>
      <c r="Y126" s="2" t="s">
        <v>50</v>
      </c>
      <c r="Z126" s="6">
        <v>712607723</v>
      </c>
      <c r="AA126" s="2" t="s">
        <v>68</v>
      </c>
      <c r="AB126" s="7"/>
      <c r="AC126" s="2"/>
      <c r="AD126" s="7"/>
      <c r="AE126" s="7"/>
      <c r="AF126" s="8"/>
      <c r="AG126" s="8"/>
    </row>
    <row r="127" spans="1:33" x14ac:dyDescent="0.25">
      <c r="A127" s="2" t="s">
        <v>302</v>
      </c>
      <c r="B127" s="3">
        <v>46234</v>
      </c>
      <c r="C127" s="3">
        <v>46254</v>
      </c>
      <c r="D127" s="2" t="s">
        <v>672</v>
      </c>
      <c r="E127" s="2" t="s">
        <v>651</v>
      </c>
      <c r="F127" s="2" t="s">
        <v>328</v>
      </c>
      <c r="G127" s="2" t="s">
        <v>58</v>
      </c>
      <c r="H127" s="2" t="s">
        <v>315</v>
      </c>
      <c r="I127" s="2" t="s">
        <v>673</v>
      </c>
      <c r="J127" s="2" t="s">
        <v>652</v>
      </c>
      <c r="K127" s="2"/>
      <c r="L127" s="2" t="s">
        <v>653</v>
      </c>
      <c r="M127" s="2" t="s">
        <v>674</v>
      </c>
      <c r="N127" s="2" t="s">
        <v>666</v>
      </c>
      <c r="O127" s="2" t="s">
        <v>676</v>
      </c>
      <c r="P127" s="2">
        <v>21</v>
      </c>
      <c r="Q127" s="2" t="s">
        <v>253</v>
      </c>
      <c r="R127" s="4">
        <v>2.1680000000000001</v>
      </c>
      <c r="S127" s="5">
        <v>2.1680000000000001</v>
      </c>
      <c r="T127" s="5">
        <f t="shared" si="3"/>
        <v>45.53</v>
      </c>
      <c r="U127" s="2" t="str">
        <f t="shared" si="2"/>
        <v>NON-FOC</v>
      </c>
      <c r="V127" s="3">
        <v>46254</v>
      </c>
      <c r="W127" s="2" t="str">
        <f>VLOOKUP(E127&amp;"_"&amp;Q127,'[1].'!$A$2:$B$30,2,FALSE)</f>
        <v>SHANK</v>
      </c>
      <c r="X127" s="2" t="s">
        <v>668</v>
      </c>
      <c r="Y127" s="2" t="s">
        <v>50</v>
      </c>
      <c r="Z127" s="6">
        <v>712607724</v>
      </c>
      <c r="AA127" s="2" t="s">
        <v>68</v>
      </c>
      <c r="AB127" s="7"/>
      <c r="AC127" s="2"/>
      <c r="AD127" s="7"/>
      <c r="AE127" s="7"/>
      <c r="AF127" s="8"/>
      <c r="AG127" s="8"/>
    </row>
    <row r="128" spans="1:33" x14ac:dyDescent="0.25">
      <c r="A128" s="2" t="s">
        <v>302</v>
      </c>
      <c r="B128" s="3">
        <v>46234</v>
      </c>
      <c r="C128" s="3">
        <v>46254</v>
      </c>
      <c r="D128" s="2" t="s">
        <v>672</v>
      </c>
      <c r="E128" s="2" t="s">
        <v>651</v>
      </c>
      <c r="F128" s="2" t="s">
        <v>328</v>
      </c>
      <c r="G128" s="2" t="s">
        <v>58</v>
      </c>
      <c r="H128" s="2" t="s">
        <v>315</v>
      </c>
      <c r="I128" s="2" t="s">
        <v>673</v>
      </c>
      <c r="J128" s="2" t="s">
        <v>652</v>
      </c>
      <c r="K128" s="2"/>
      <c r="L128" s="2" t="s">
        <v>653</v>
      </c>
      <c r="M128" s="2" t="s">
        <v>674</v>
      </c>
      <c r="N128" s="2" t="s">
        <v>666</v>
      </c>
      <c r="O128" s="2" t="s">
        <v>677</v>
      </c>
      <c r="P128" s="2">
        <v>29</v>
      </c>
      <c r="Q128" s="2" t="s">
        <v>253</v>
      </c>
      <c r="R128" s="4">
        <v>2.1680000000000001</v>
      </c>
      <c r="S128" s="5">
        <v>2.1680000000000001</v>
      </c>
      <c r="T128" s="5">
        <f t="shared" si="3"/>
        <v>62.87</v>
      </c>
      <c r="U128" s="2" t="str">
        <f t="shared" si="2"/>
        <v>NON-FOC</v>
      </c>
      <c r="V128" s="3">
        <v>46254</v>
      </c>
      <c r="W128" s="2" t="str">
        <f>VLOOKUP(E128&amp;"_"&amp;Q128,'[1].'!$A$2:$B$30,2,FALSE)</f>
        <v>SHANK</v>
      </c>
      <c r="X128" s="2" t="s">
        <v>668</v>
      </c>
      <c r="Y128" s="2" t="s">
        <v>50</v>
      </c>
      <c r="Z128" s="6">
        <v>712607725</v>
      </c>
      <c r="AA128" s="2" t="s">
        <v>68</v>
      </c>
      <c r="AB128" s="7"/>
      <c r="AC128" s="2"/>
      <c r="AD128" s="7"/>
      <c r="AE128" s="7"/>
      <c r="AF128" s="8"/>
      <c r="AG128" s="8"/>
    </row>
    <row r="129" spans="1:33" x14ac:dyDescent="0.25">
      <c r="A129" s="2" t="s">
        <v>302</v>
      </c>
      <c r="B129" s="3">
        <v>46234</v>
      </c>
      <c r="C129" s="3">
        <v>46254</v>
      </c>
      <c r="D129" s="2" t="s">
        <v>672</v>
      </c>
      <c r="E129" s="2" t="s">
        <v>651</v>
      </c>
      <c r="F129" s="2" t="s">
        <v>328</v>
      </c>
      <c r="G129" s="2" t="s">
        <v>58</v>
      </c>
      <c r="H129" s="2" t="s">
        <v>315</v>
      </c>
      <c r="I129" s="2" t="s">
        <v>673</v>
      </c>
      <c r="J129" s="2" t="s">
        <v>652</v>
      </c>
      <c r="K129" s="2"/>
      <c r="L129" s="2" t="s">
        <v>653</v>
      </c>
      <c r="M129" s="2" t="s">
        <v>674</v>
      </c>
      <c r="N129" s="2" t="s">
        <v>666</v>
      </c>
      <c r="O129" s="2" t="s">
        <v>678</v>
      </c>
      <c r="P129" s="2">
        <v>21</v>
      </c>
      <c r="Q129" s="2" t="s">
        <v>253</v>
      </c>
      <c r="R129" s="4">
        <v>2.1680000000000001</v>
      </c>
      <c r="S129" s="5">
        <v>2.1680000000000001</v>
      </c>
      <c r="T129" s="5">
        <f t="shared" si="3"/>
        <v>45.53</v>
      </c>
      <c r="U129" s="2" t="str">
        <f t="shared" si="2"/>
        <v>NON-FOC</v>
      </c>
      <c r="V129" s="3">
        <v>46254</v>
      </c>
      <c r="W129" s="2" t="str">
        <f>VLOOKUP(E129&amp;"_"&amp;Q129,'[1].'!$A$2:$B$30,2,FALSE)</f>
        <v>SHANK</v>
      </c>
      <c r="X129" s="2" t="s">
        <v>668</v>
      </c>
      <c r="Y129" s="2" t="s">
        <v>50</v>
      </c>
      <c r="Z129" s="6">
        <v>712607726</v>
      </c>
      <c r="AA129" s="2" t="s">
        <v>68</v>
      </c>
      <c r="AB129" s="7"/>
      <c r="AC129" s="2"/>
      <c r="AD129" s="7"/>
      <c r="AE129" s="7"/>
      <c r="AF129" s="8"/>
      <c r="AG129" s="8"/>
    </row>
    <row r="130" spans="1:33" x14ac:dyDescent="0.25">
      <c r="A130" s="2" t="s">
        <v>302</v>
      </c>
      <c r="B130" s="3">
        <v>46234</v>
      </c>
      <c r="C130" s="3">
        <v>46254</v>
      </c>
      <c r="D130" s="2" t="s">
        <v>672</v>
      </c>
      <c r="E130" s="2" t="s">
        <v>651</v>
      </c>
      <c r="F130" s="2" t="s">
        <v>328</v>
      </c>
      <c r="G130" s="2" t="s">
        <v>58</v>
      </c>
      <c r="H130" s="2" t="s">
        <v>315</v>
      </c>
      <c r="I130" s="2" t="s">
        <v>673</v>
      </c>
      <c r="J130" s="2" t="s">
        <v>652</v>
      </c>
      <c r="K130" s="2"/>
      <c r="L130" s="2" t="s">
        <v>653</v>
      </c>
      <c r="M130" s="2" t="s">
        <v>674</v>
      </c>
      <c r="N130" s="2" t="s">
        <v>666</v>
      </c>
      <c r="O130" s="2" t="s">
        <v>679</v>
      </c>
      <c r="P130" s="2">
        <v>29</v>
      </c>
      <c r="Q130" s="2" t="s">
        <v>253</v>
      </c>
      <c r="R130" s="4">
        <v>2.1680000000000001</v>
      </c>
      <c r="S130" s="5">
        <v>2.1680000000000001</v>
      </c>
      <c r="T130" s="5">
        <f t="shared" si="3"/>
        <v>62.87</v>
      </c>
      <c r="U130" s="2" t="str">
        <f t="shared" si="2"/>
        <v>NON-FOC</v>
      </c>
      <c r="V130" s="3">
        <v>46254</v>
      </c>
      <c r="W130" s="2" t="str">
        <f>VLOOKUP(E130&amp;"_"&amp;Q130,'[1].'!$A$2:$B$30,2,FALSE)</f>
        <v>SHANK</v>
      </c>
      <c r="X130" s="2" t="s">
        <v>668</v>
      </c>
      <c r="Y130" s="2" t="s">
        <v>50</v>
      </c>
      <c r="Z130" s="6">
        <v>712607727</v>
      </c>
      <c r="AA130" s="2" t="s">
        <v>68</v>
      </c>
      <c r="AB130" s="7"/>
      <c r="AC130" s="2"/>
      <c r="AD130" s="7"/>
      <c r="AE130" s="7"/>
      <c r="AF130" s="8"/>
      <c r="AG130" s="8"/>
    </row>
    <row r="131" spans="1:33" x14ac:dyDescent="0.25">
      <c r="A131" s="2" t="s">
        <v>302</v>
      </c>
      <c r="B131" s="3">
        <v>46234</v>
      </c>
      <c r="C131" s="3">
        <v>46254</v>
      </c>
      <c r="D131" s="2" t="s">
        <v>672</v>
      </c>
      <c r="E131" s="2" t="s">
        <v>651</v>
      </c>
      <c r="F131" s="2" t="s">
        <v>328</v>
      </c>
      <c r="G131" s="2" t="s">
        <v>58</v>
      </c>
      <c r="H131" s="2" t="s">
        <v>315</v>
      </c>
      <c r="I131" s="2" t="s">
        <v>673</v>
      </c>
      <c r="J131" s="2" t="s">
        <v>652</v>
      </c>
      <c r="K131" s="2"/>
      <c r="L131" s="2" t="s">
        <v>653</v>
      </c>
      <c r="M131" s="2" t="s">
        <v>674</v>
      </c>
      <c r="N131" s="2" t="s">
        <v>666</v>
      </c>
      <c r="O131" s="2" t="s">
        <v>680</v>
      </c>
      <c r="P131" s="2">
        <v>21</v>
      </c>
      <c r="Q131" s="2" t="s">
        <v>253</v>
      </c>
      <c r="R131" s="4">
        <v>2.1680000000000001</v>
      </c>
      <c r="S131" s="5">
        <v>2.1680000000000001</v>
      </c>
      <c r="T131" s="5">
        <f t="shared" si="3"/>
        <v>45.53</v>
      </c>
      <c r="U131" s="2" t="str">
        <f t="shared" si="2"/>
        <v>NON-FOC</v>
      </c>
      <c r="V131" s="3">
        <v>46254</v>
      </c>
      <c r="W131" s="2" t="str">
        <f>VLOOKUP(E131&amp;"_"&amp;Q131,'[1].'!$A$2:$B$30,2,FALSE)</f>
        <v>SHANK</v>
      </c>
      <c r="X131" s="2" t="s">
        <v>668</v>
      </c>
      <c r="Y131" s="2" t="s">
        <v>50</v>
      </c>
      <c r="Z131" s="6">
        <v>712607728</v>
      </c>
      <c r="AA131" s="2" t="s">
        <v>68</v>
      </c>
      <c r="AB131" s="7"/>
      <c r="AC131" s="2"/>
      <c r="AD131" s="7"/>
      <c r="AE131" s="7"/>
      <c r="AF131" s="8"/>
      <c r="AG131" s="8"/>
    </row>
    <row r="132" spans="1:33" x14ac:dyDescent="0.25">
      <c r="A132" s="2" t="s">
        <v>302</v>
      </c>
      <c r="B132" s="3">
        <v>46234</v>
      </c>
      <c r="C132" s="3">
        <v>46254</v>
      </c>
      <c r="D132" s="2" t="s">
        <v>672</v>
      </c>
      <c r="E132" s="2" t="s">
        <v>651</v>
      </c>
      <c r="F132" s="2" t="s">
        <v>328</v>
      </c>
      <c r="G132" s="2" t="s">
        <v>58</v>
      </c>
      <c r="H132" s="2" t="s">
        <v>315</v>
      </c>
      <c r="I132" s="2" t="s">
        <v>673</v>
      </c>
      <c r="J132" s="2" t="s">
        <v>652</v>
      </c>
      <c r="K132" s="2"/>
      <c r="L132" s="2" t="s">
        <v>653</v>
      </c>
      <c r="M132" s="2" t="s">
        <v>674</v>
      </c>
      <c r="N132" s="2" t="s">
        <v>666</v>
      </c>
      <c r="O132" s="2" t="s">
        <v>681</v>
      </c>
      <c r="P132" s="2">
        <v>5</v>
      </c>
      <c r="Q132" s="2" t="s">
        <v>253</v>
      </c>
      <c r="R132" s="4">
        <v>2.1680000000000001</v>
      </c>
      <c r="S132" s="5">
        <v>2.1680000000000001</v>
      </c>
      <c r="T132" s="5">
        <f t="shared" si="3"/>
        <v>10.84</v>
      </c>
      <c r="U132" s="2" t="str">
        <f t="shared" si="2"/>
        <v>NON-FOC</v>
      </c>
      <c r="V132" s="3">
        <v>46254</v>
      </c>
      <c r="W132" s="2" t="str">
        <f>VLOOKUP(E132&amp;"_"&amp;Q132,'[1].'!$A$2:$B$30,2,FALSE)</f>
        <v>SHANK</v>
      </c>
      <c r="X132" s="2" t="s">
        <v>668</v>
      </c>
      <c r="Y132" s="2" t="s">
        <v>50</v>
      </c>
      <c r="Z132" s="6">
        <v>712607729</v>
      </c>
      <c r="AA132" s="2" t="s">
        <v>68</v>
      </c>
      <c r="AB132" s="7"/>
      <c r="AC132" s="2"/>
      <c r="AD132" s="7"/>
      <c r="AE132" s="7"/>
      <c r="AF132" s="8"/>
      <c r="AG132" s="8"/>
    </row>
    <row r="133" spans="1:33" x14ac:dyDescent="0.25">
      <c r="A133" s="2" t="s">
        <v>302</v>
      </c>
      <c r="B133" s="3">
        <v>46234</v>
      </c>
      <c r="C133" s="3">
        <v>46254</v>
      </c>
      <c r="D133" s="2" t="s">
        <v>672</v>
      </c>
      <c r="E133" s="2" t="s">
        <v>651</v>
      </c>
      <c r="F133" s="2" t="s">
        <v>328</v>
      </c>
      <c r="G133" s="2" t="s">
        <v>58</v>
      </c>
      <c r="H133" s="2" t="s">
        <v>315</v>
      </c>
      <c r="I133" s="2" t="s">
        <v>673</v>
      </c>
      <c r="J133" s="2" t="s">
        <v>652</v>
      </c>
      <c r="K133" s="2"/>
      <c r="L133" s="2" t="s">
        <v>653</v>
      </c>
      <c r="M133" s="2" t="s">
        <v>674</v>
      </c>
      <c r="N133" s="2" t="s">
        <v>666</v>
      </c>
      <c r="O133" s="2" t="s">
        <v>682</v>
      </c>
      <c r="P133" s="2">
        <v>5</v>
      </c>
      <c r="Q133" s="2" t="s">
        <v>253</v>
      </c>
      <c r="R133" s="4">
        <v>2.1680000000000001</v>
      </c>
      <c r="S133" s="5">
        <v>2.1680000000000001</v>
      </c>
      <c r="T133" s="5">
        <f t="shared" si="3"/>
        <v>10.84</v>
      </c>
      <c r="U133" s="2" t="str">
        <f t="shared" si="2"/>
        <v>NON-FOC</v>
      </c>
      <c r="V133" s="3">
        <v>46254</v>
      </c>
      <c r="W133" s="2" t="str">
        <f>VLOOKUP(E133&amp;"_"&amp;Q133,'[1].'!$A$2:$B$30,2,FALSE)</f>
        <v>SHANK</v>
      </c>
      <c r="X133" s="2" t="s">
        <v>668</v>
      </c>
      <c r="Y133" s="2" t="s">
        <v>50</v>
      </c>
      <c r="Z133" s="6">
        <v>712607730</v>
      </c>
      <c r="AA133" s="2" t="s">
        <v>68</v>
      </c>
      <c r="AB133" s="7"/>
      <c r="AC133" s="2"/>
      <c r="AD133" s="7"/>
      <c r="AE133" s="7"/>
      <c r="AF133" s="8"/>
      <c r="AG133" s="8"/>
    </row>
    <row r="134" spans="1:33" x14ac:dyDescent="0.25">
      <c r="A134" s="2" t="s">
        <v>302</v>
      </c>
      <c r="B134" s="3">
        <v>46234</v>
      </c>
      <c r="C134" s="3">
        <v>46254</v>
      </c>
      <c r="D134" s="2" t="s">
        <v>672</v>
      </c>
      <c r="E134" s="2" t="s">
        <v>651</v>
      </c>
      <c r="F134" s="2" t="s">
        <v>328</v>
      </c>
      <c r="G134" s="2" t="s">
        <v>58</v>
      </c>
      <c r="H134" s="2" t="s">
        <v>315</v>
      </c>
      <c r="I134" s="2" t="s">
        <v>673</v>
      </c>
      <c r="J134" s="2" t="s">
        <v>652</v>
      </c>
      <c r="K134" s="2"/>
      <c r="L134" s="2" t="s">
        <v>653</v>
      </c>
      <c r="M134" s="2" t="s">
        <v>674</v>
      </c>
      <c r="N134" s="2" t="s">
        <v>666</v>
      </c>
      <c r="O134" s="2" t="s">
        <v>683</v>
      </c>
      <c r="P134" s="2">
        <v>5</v>
      </c>
      <c r="Q134" s="2" t="s">
        <v>253</v>
      </c>
      <c r="R134" s="4">
        <v>2.1680000000000001</v>
      </c>
      <c r="S134" s="5">
        <v>2.1680000000000001</v>
      </c>
      <c r="T134" s="5">
        <f t="shared" si="3"/>
        <v>10.84</v>
      </c>
      <c r="U134" s="2" t="str">
        <f t="shared" si="2"/>
        <v>NON-FOC</v>
      </c>
      <c r="V134" s="3">
        <v>46254</v>
      </c>
      <c r="W134" s="2" t="str">
        <f>VLOOKUP(E134&amp;"_"&amp;Q134,'[1].'!$A$2:$B$30,2,FALSE)</f>
        <v>SHANK</v>
      </c>
      <c r="X134" s="2" t="s">
        <v>668</v>
      </c>
      <c r="Y134" s="2" t="s">
        <v>50</v>
      </c>
      <c r="Z134" s="6">
        <v>712607731</v>
      </c>
      <c r="AA134" s="2" t="s">
        <v>68</v>
      </c>
      <c r="AB134" s="7"/>
      <c r="AC134" s="2"/>
      <c r="AD134" s="7"/>
      <c r="AE134" s="7"/>
      <c r="AF134" s="8"/>
      <c r="AG134" s="8"/>
    </row>
    <row r="135" spans="1:33" x14ac:dyDescent="0.25">
      <c r="A135" s="2" t="s">
        <v>129</v>
      </c>
      <c r="B135" s="3">
        <v>46234</v>
      </c>
      <c r="C135" s="3">
        <v>46256</v>
      </c>
      <c r="D135" s="2" t="s">
        <v>684</v>
      </c>
      <c r="E135" s="2" t="s">
        <v>651</v>
      </c>
      <c r="F135" s="2" t="s">
        <v>328</v>
      </c>
      <c r="G135" s="2" t="s">
        <v>58</v>
      </c>
      <c r="H135" s="2" t="s">
        <v>73</v>
      </c>
      <c r="I135" s="2" t="s">
        <v>398</v>
      </c>
      <c r="J135" s="2" t="s">
        <v>652</v>
      </c>
      <c r="K135" s="2"/>
      <c r="L135" s="2" t="s">
        <v>653</v>
      </c>
      <c r="M135" s="2" t="s">
        <v>685</v>
      </c>
      <c r="N135" s="2" t="s">
        <v>666</v>
      </c>
      <c r="O135" s="2" t="s">
        <v>686</v>
      </c>
      <c r="P135" s="2">
        <v>2</v>
      </c>
      <c r="Q135" s="2" t="s">
        <v>253</v>
      </c>
      <c r="R135" s="4">
        <v>1.452</v>
      </c>
      <c r="S135" s="5">
        <v>1.452</v>
      </c>
      <c r="T135" s="5">
        <f t="shared" si="3"/>
        <v>2.9</v>
      </c>
      <c r="U135" s="2" t="str">
        <f t="shared" si="2"/>
        <v>NON-FOC</v>
      </c>
      <c r="V135" s="3">
        <v>46254</v>
      </c>
      <c r="W135" s="2" t="str">
        <f>VLOOKUP(E135&amp;"_"&amp;Q135,'[1].'!$A$2:$B$30,2,FALSE)</f>
        <v>SHANK</v>
      </c>
      <c r="X135" s="2" t="s">
        <v>668</v>
      </c>
      <c r="Y135" s="2" t="s">
        <v>50</v>
      </c>
      <c r="Z135" s="6">
        <v>712607763</v>
      </c>
      <c r="AA135" s="2" t="s">
        <v>68</v>
      </c>
      <c r="AB135" s="7"/>
      <c r="AC135" s="2"/>
      <c r="AD135" s="7"/>
      <c r="AE135" s="7"/>
      <c r="AF135" s="8"/>
      <c r="AG135" s="8"/>
    </row>
    <row r="136" spans="1:33" x14ac:dyDescent="0.25">
      <c r="A136" s="2" t="s">
        <v>129</v>
      </c>
      <c r="B136" s="3">
        <v>46234</v>
      </c>
      <c r="C136" s="3">
        <v>46256</v>
      </c>
      <c r="D136" s="2" t="s">
        <v>684</v>
      </c>
      <c r="E136" s="2" t="s">
        <v>651</v>
      </c>
      <c r="F136" s="2" t="s">
        <v>328</v>
      </c>
      <c r="G136" s="2" t="s">
        <v>58</v>
      </c>
      <c r="H136" s="2" t="s">
        <v>73</v>
      </c>
      <c r="I136" s="2" t="s">
        <v>398</v>
      </c>
      <c r="J136" s="2" t="s">
        <v>652</v>
      </c>
      <c r="K136" s="2"/>
      <c r="L136" s="2" t="s">
        <v>653</v>
      </c>
      <c r="M136" s="2" t="s">
        <v>685</v>
      </c>
      <c r="N136" s="2" t="s">
        <v>666</v>
      </c>
      <c r="O136" s="2" t="s">
        <v>687</v>
      </c>
      <c r="P136" s="2">
        <v>2</v>
      </c>
      <c r="Q136" s="2" t="s">
        <v>253</v>
      </c>
      <c r="R136" s="4">
        <v>1.452</v>
      </c>
      <c r="S136" s="5">
        <v>1.452</v>
      </c>
      <c r="T136" s="5">
        <f t="shared" si="3"/>
        <v>2.9</v>
      </c>
      <c r="U136" s="2" t="str">
        <f t="shared" si="2"/>
        <v>NON-FOC</v>
      </c>
      <c r="V136" s="3">
        <v>46254</v>
      </c>
      <c r="W136" s="2" t="str">
        <f>VLOOKUP(E136&amp;"_"&amp;Q136,'[1].'!$A$2:$B$30,2,FALSE)</f>
        <v>SHANK</v>
      </c>
      <c r="X136" s="2" t="s">
        <v>668</v>
      </c>
      <c r="Y136" s="2" t="s">
        <v>50</v>
      </c>
      <c r="Z136" s="6">
        <v>712607764</v>
      </c>
      <c r="AA136" s="2" t="s">
        <v>68</v>
      </c>
      <c r="AB136" s="7"/>
      <c r="AC136" s="2"/>
      <c r="AD136" s="7"/>
      <c r="AE136" s="7"/>
      <c r="AF136" s="8"/>
      <c r="AG136" s="8"/>
    </row>
    <row r="137" spans="1:33" x14ac:dyDescent="0.25">
      <c r="A137" s="2" t="s">
        <v>193</v>
      </c>
      <c r="B137" s="3">
        <v>46237</v>
      </c>
      <c r="C137" s="3">
        <v>46258</v>
      </c>
      <c r="D137" s="2" t="s">
        <v>688</v>
      </c>
      <c r="E137" s="2" t="s">
        <v>651</v>
      </c>
      <c r="F137" s="2" t="s">
        <v>195</v>
      </c>
      <c r="G137" s="2" t="s">
        <v>37</v>
      </c>
      <c r="H137" s="2" t="s">
        <v>116</v>
      </c>
      <c r="I137" s="2" t="s">
        <v>196</v>
      </c>
      <c r="J137" s="2" t="s">
        <v>625</v>
      </c>
      <c r="K137" s="2" t="s">
        <v>689</v>
      </c>
      <c r="L137" s="2" t="s">
        <v>664</v>
      </c>
      <c r="M137" s="2" t="s">
        <v>690</v>
      </c>
      <c r="N137" s="2" t="s">
        <v>666</v>
      </c>
      <c r="O137" s="2" t="s">
        <v>691</v>
      </c>
      <c r="P137" s="2">
        <v>18</v>
      </c>
      <c r="Q137" s="2" t="s">
        <v>253</v>
      </c>
      <c r="R137" s="4">
        <v>1.452</v>
      </c>
      <c r="S137" s="5">
        <v>1.452</v>
      </c>
      <c r="T137" s="5">
        <f>ROUND(S137*P137,2)</f>
        <v>26.14</v>
      </c>
      <c r="U137" s="2" t="str">
        <f t="shared" si="2"/>
        <v>NON-FOC</v>
      </c>
      <c r="V137" s="3">
        <v>46254</v>
      </c>
      <c r="W137" s="2" t="str">
        <f>VLOOKUP(E137&amp;"_"&amp;Q137,'[1].'!$A$2:$B$30,2,FALSE)</f>
        <v>SHANK</v>
      </c>
      <c r="X137" s="2" t="s">
        <v>692</v>
      </c>
      <c r="Y137" s="2" t="s">
        <v>50</v>
      </c>
      <c r="Z137" s="6">
        <v>712607827</v>
      </c>
      <c r="AA137" s="2" t="s">
        <v>51</v>
      </c>
      <c r="AB137" s="7" t="s">
        <v>52</v>
      </c>
      <c r="AC137" s="2" t="s">
        <v>632</v>
      </c>
      <c r="AD137" s="7" t="s">
        <v>693</v>
      </c>
      <c r="AE137" s="7"/>
      <c r="AF137" s="8"/>
      <c r="AG137" s="8"/>
    </row>
    <row r="138" spans="1:33" x14ac:dyDescent="0.25">
      <c r="A138" s="2" t="s">
        <v>694</v>
      </c>
      <c r="B138" s="3">
        <v>46238</v>
      </c>
      <c r="C138" s="3">
        <v>46258</v>
      </c>
      <c r="D138" s="2" t="s">
        <v>695</v>
      </c>
      <c r="E138" s="2" t="s">
        <v>651</v>
      </c>
      <c r="F138" s="2" t="s">
        <v>328</v>
      </c>
      <c r="G138" s="2" t="s">
        <v>106</v>
      </c>
      <c r="H138" s="2" t="s">
        <v>315</v>
      </c>
      <c r="I138" s="2" t="s">
        <v>696</v>
      </c>
      <c r="J138" s="2" t="s">
        <v>652</v>
      </c>
      <c r="K138" s="2"/>
      <c r="L138" s="2" t="s">
        <v>653</v>
      </c>
      <c r="M138" s="2" t="s">
        <v>697</v>
      </c>
      <c r="N138" s="2" t="s">
        <v>666</v>
      </c>
      <c r="O138" s="2" t="s">
        <v>698</v>
      </c>
      <c r="P138" s="2">
        <v>5</v>
      </c>
      <c r="Q138" s="2" t="s">
        <v>253</v>
      </c>
      <c r="R138" s="4">
        <v>1.452</v>
      </c>
      <c r="S138" s="5">
        <v>1.452</v>
      </c>
      <c r="T138" s="5">
        <f t="shared" ref="T138:T147" si="4">ROUND(S138*P138,2)</f>
        <v>7.26</v>
      </c>
      <c r="U138" s="2" t="str">
        <f t="shared" si="2"/>
        <v>NON-FOC</v>
      </c>
      <c r="V138" s="3">
        <v>46254</v>
      </c>
      <c r="W138" s="2" t="str">
        <f>VLOOKUP(E138&amp;"_"&amp;Q138,'[1].'!$A$2:$B$30,2,FALSE)</f>
        <v>SHANK</v>
      </c>
      <c r="X138" s="2" t="s">
        <v>699</v>
      </c>
      <c r="Y138" s="2" t="s">
        <v>50</v>
      </c>
      <c r="Z138" s="6">
        <v>712607852</v>
      </c>
      <c r="AA138" s="2" t="s">
        <v>68</v>
      </c>
      <c r="AB138" s="7"/>
      <c r="AC138" s="2"/>
      <c r="AD138" s="7"/>
      <c r="AE138" s="7"/>
      <c r="AF138" s="8"/>
      <c r="AG138" s="8"/>
    </row>
    <row r="139" spans="1:33" x14ac:dyDescent="0.25">
      <c r="A139" s="2" t="s">
        <v>694</v>
      </c>
      <c r="B139" s="3">
        <v>46238</v>
      </c>
      <c r="C139" s="3">
        <v>46258</v>
      </c>
      <c r="D139" s="2" t="s">
        <v>695</v>
      </c>
      <c r="E139" s="2" t="s">
        <v>651</v>
      </c>
      <c r="F139" s="2" t="s">
        <v>328</v>
      </c>
      <c r="G139" s="2" t="s">
        <v>106</v>
      </c>
      <c r="H139" s="2" t="s">
        <v>315</v>
      </c>
      <c r="I139" s="2" t="s">
        <v>696</v>
      </c>
      <c r="J139" s="2" t="s">
        <v>652</v>
      </c>
      <c r="K139" s="2"/>
      <c r="L139" s="2" t="s">
        <v>653</v>
      </c>
      <c r="M139" s="2" t="s">
        <v>697</v>
      </c>
      <c r="N139" s="2" t="s">
        <v>666</v>
      </c>
      <c r="O139" s="2" t="s">
        <v>700</v>
      </c>
      <c r="P139" s="2">
        <v>5</v>
      </c>
      <c r="Q139" s="2" t="s">
        <v>253</v>
      </c>
      <c r="R139" s="4">
        <v>1.452</v>
      </c>
      <c r="S139" s="5">
        <v>1.452</v>
      </c>
      <c r="T139" s="5">
        <f t="shared" si="4"/>
        <v>7.26</v>
      </c>
      <c r="U139" s="2" t="str">
        <f t="shared" si="2"/>
        <v>NON-FOC</v>
      </c>
      <c r="V139" s="3">
        <v>46254</v>
      </c>
      <c r="W139" s="2" t="str">
        <f>VLOOKUP(E139&amp;"_"&amp;Q139,'[1].'!$A$2:$B$30,2,FALSE)</f>
        <v>SHANK</v>
      </c>
      <c r="X139" s="2" t="s">
        <v>699</v>
      </c>
      <c r="Y139" s="2" t="s">
        <v>50</v>
      </c>
      <c r="Z139" s="6">
        <v>712607853</v>
      </c>
      <c r="AA139" s="2" t="s">
        <v>68</v>
      </c>
      <c r="AB139" s="7"/>
      <c r="AC139" s="2"/>
      <c r="AD139" s="7"/>
      <c r="AE139" s="7"/>
      <c r="AF139" s="8"/>
      <c r="AG139" s="8"/>
    </row>
    <row r="140" spans="1:33" x14ac:dyDescent="0.25">
      <c r="A140" s="2" t="s">
        <v>694</v>
      </c>
      <c r="B140" s="3">
        <v>46238</v>
      </c>
      <c r="C140" s="3">
        <v>46258</v>
      </c>
      <c r="D140" s="2" t="s">
        <v>695</v>
      </c>
      <c r="E140" s="2" t="s">
        <v>651</v>
      </c>
      <c r="F140" s="2" t="s">
        <v>328</v>
      </c>
      <c r="G140" s="2" t="s">
        <v>106</v>
      </c>
      <c r="H140" s="2" t="s">
        <v>315</v>
      </c>
      <c r="I140" s="2" t="s">
        <v>696</v>
      </c>
      <c r="J140" s="2" t="s">
        <v>652</v>
      </c>
      <c r="K140" s="2"/>
      <c r="L140" s="2" t="s">
        <v>653</v>
      </c>
      <c r="M140" s="2" t="s">
        <v>697</v>
      </c>
      <c r="N140" s="2" t="s">
        <v>666</v>
      </c>
      <c r="O140" s="2" t="s">
        <v>701</v>
      </c>
      <c r="P140" s="2">
        <v>5</v>
      </c>
      <c r="Q140" s="2" t="s">
        <v>253</v>
      </c>
      <c r="R140" s="4">
        <v>1.452</v>
      </c>
      <c r="S140" s="5">
        <v>1.452</v>
      </c>
      <c r="T140" s="5">
        <f t="shared" si="4"/>
        <v>7.26</v>
      </c>
      <c r="U140" s="2" t="str">
        <f t="shared" si="2"/>
        <v>NON-FOC</v>
      </c>
      <c r="V140" s="3">
        <v>46254</v>
      </c>
      <c r="W140" s="2" t="str">
        <f>VLOOKUP(E140&amp;"_"&amp;Q140,'[1].'!$A$2:$B$30,2,FALSE)</f>
        <v>SHANK</v>
      </c>
      <c r="X140" s="2" t="s">
        <v>699</v>
      </c>
      <c r="Y140" s="2" t="s">
        <v>50</v>
      </c>
      <c r="Z140" s="6">
        <v>712607854</v>
      </c>
      <c r="AA140" s="2" t="s">
        <v>68</v>
      </c>
      <c r="AB140" s="7"/>
      <c r="AC140" s="2"/>
      <c r="AD140" s="7"/>
      <c r="AE140" s="7"/>
      <c r="AF140" s="8"/>
      <c r="AG140" s="8"/>
    </row>
    <row r="141" spans="1:33" x14ac:dyDescent="0.25">
      <c r="A141" s="2" t="s">
        <v>694</v>
      </c>
      <c r="B141" s="3">
        <v>46238</v>
      </c>
      <c r="C141" s="3">
        <v>46258</v>
      </c>
      <c r="D141" s="2" t="s">
        <v>695</v>
      </c>
      <c r="E141" s="2" t="s">
        <v>651</v>
      </c>
      <c r="F141" s="2" t="s">
        <v>328</v>
      </c>
      <c r="G141" s="2" t="s">
        <v>106</v>
      </c>
      <c r="H141" s="2" t="s">
        <v>315</v>
      </c>
      <c r="I141" s="2" t="s">
        <v>696</v>
      </c>
      <c r="J141" s="2" t="s">
        <v>652</v>
      </c>
      <c r="K141" s="2"/>
      <c r="L141" s="2" t="s">
        <v>653</v>
      </c>
      <c r="M141" s="2" t="s">
        <v>697</v>
      </c>
      <c r="N141" s="2" t="s">
        <v>666</v>
      </c>
      <c r="O141" s="2" t="s">
        <v>702</v>
      </c>
      <c r="P141" s="2">
        <v>5</v>
      </c>
      <c r="Q141" s="2" t="s">
        <v>253</v>
      </c>
      <c r="R141" s="4">
        <v>1.452</v>
      </c>
      <c r="S141" s="5">
        <v>1.452</v>
      </c>
      <c r="T141" s="5">
        <f t="shared" si="4"/>
        <v>7.26</v>
      </c>
      <c r="U141" s="2" t="str">
        <f t="shared" si="2"/>
        <v>NON-FOC</v>
      </c>
      <c r="V141" s="3">
        <v>46254</v>
      </c>
      <c r="W141" s="2" t="str">
        <f>VLOOKUP(E141&amp;"_"&amp;Q141,'[1].'!$A$2:$B$30,2,FALSE)</f>
        <v>SHANK</v>
      </c>
      <c r="X141" s="2" t="s">
        <v>699</v>
      </c>
      <c r="Y141" s="2" t="s">
        <v>50</v>
      </c>
      <c r="Z141" s="6">
        <v>712607855</v>
      </c>
      <c r="AA141" s="2" t="s">
        <v>68</v>
      </c>
      <c r="AB141" s="7"/>
      <c r="AC141" s="2"/>
      <c r="AD141" s="7"/>
      <c r="AE141" s="7"/>
      <c r="AF141" s="8"/>
      <c r="AG141" s="8"/>
    </row>
    <row r="142" spans="1:33" x14ac:dyDescent="0.25">
      <c r="A142" s="2" t="s">
        <v>302</v>
      </c>
      <c r="B142" s="3">
        <v>46238</v>
      </c>
      <c r="C142" s="3">
        <v>46254</v>
      </c>
      <c r="D142" s="2" t="s">
        <v>703</v>
      </c>
      <c r="E142" s="2" t="s">
        <v>651</v>
      </c>
      <c r="F142" s="2" t="s">
        <v>184</v>
      </c>
      <c r="G142" s="2" t="s">
        <v>58</v>
      </c>
      <c r="H142" s="2" t="s">
        <v>73</v>
      </c>
      <c r="I142" s="2" t="s">
        <v>329</v>
      </c>
      <c r="J142" s="2" t="s">
        <v>652</v>
      </c>
      <c r="K142" s="2"/>
      <c r="L142" s="2" t="s">
        <v>653</v>
      </c>
      <c r="M142" s="2" t="s">
        <v>704</v>
      </c>
      <c r="N142" s="2" t="s">
        <v>666</v>
      </c>
      <c r="O142" s="2" t="s">
        <v>686</v>
      </c>
      <c r="P142" s="2">
        <v>5</v>
      </c>
      <c r="Q142" s="2" t="s">
        <v>253</v>
      </c>
      <c r="R142" s="4">
        <v>1.452</v>
      </c>
      <c r="S142" s="5">
        <v>1.452</v>
      </c>
      <c r="T142" s="5">
        <f t="shared" si="4"/>
        <v>7.26</v>
      </c>
      <c r="U142" s="2" t="str">
        <f t="shared" si="2"/>
        <v>NON-FOC</v>
      </c>
      <c r="V142" s="3">
        <v>46254</v>
      </c>
      <c r="W142" s="2" t="str">
        <f>VLOOKUP(E142&amp;"_"&amp;Q142,'[1].'!$A$2:$B$30,2,FALSE)</f>
        <v>SHANK</v>
      </c>
      <c r="X142" s="2" t="s">
        <v>692</v>
      </c>
      <c r="Y142" s="2" t="s">
        <v>50</v>
      </c>
      <c r="Z142" s="6">
        <v>712607866</v>
      </c>
      <c r="AA142" s="2" t="s">
        <v>68</v>
      </c>
      <c r="AB142" s="7"/>
      <c r="AC142" s="2"/>
      <c r="AD142" s="7"/>
      <c r="AE142" s="7"/>
      <c r="AF142" s="8"/>
      <c r="AG142" s="8"/>
    </row>
    <row r="143" spans="1:33" x14ac:dyDescent="0.25">
      <c r="A143" s="2" t="s">
        <v>302</v>
      </c>
      <c r="B143" s="3">
        <v>46238</v>
      </c>
      <c r="C143" s="3">
        <v>46254</v>
      </c>
      <c r="D143" s="2" t="s">
        <v>703</v>
      </c>
      <c r="E143" s="2" t="s">
        <v>651</v>
      </c>
      <c r="F143" s="2" t="s">
        <v>184</v>
      </c>
      <c r="G143" s="2" t="s">
        <v>58</v>
      </c>
      <c r="H143" s="2" t="s">
        <v>73</v>
      </c>
      <c r="I143" s="2" t="s">
        <v>705</v>
      </c>
      <c r="J143" s="2" t="s">
        <v>652</v>
      </c>
      <c r="K143" s="2"/>
      <c r="L143" s="2" t="s">
        <v>653</v>
      </c>
      <c r="M143" s="2" t="s">
        <v>706</v>
      </c>
      <c r="N143" s="2" t="s">
        <v>666</v>
      </c>
      <c r="O143" s="2" t="s">
        <v>687</v>
      </c>
      <c r="P143" s="2">
        <v>5</v>
      </c>
      <c r="Q143" s="2" t="s">
        <v>253</v>
      </c>
      <c r="R143" s="4">
        <v>1.452</v>
      </c>
      <c r="S143" s="5">
        <v>1.452</v>
      </c>
      <c r="T143" s="5">
        <f t="shared" si="4"/>
        <v>7.26</v>
      </c>
      <c r="U143" s="2" t="str">
        <f t="shared" si="2"/>
        <v>NON-FOC</v>
      </c>
      <c r="V143" s="3">
        <v>46254</v>
      </c>
      <c r="W143" s="2" t="str">
        <f>VLOOKUP(E143&amp;"_"&amp;Q143,'[1].'!$A$2:$B$30,2,FALSE)</f>
        <v>SHANK</v>
      </c>
      <c r="X143" s="2" t="s">
        <v>692</v>
      </c>
      <c r="Y143" s="2" t="s">
        <v>50</v>
      </c>
      <c r="Z143" s="6">
        <v>712607867</v>
      </c>
      <c r="AA143" s="2" t="s">
        <v>68</v>
      </c>
      <c r="AB143" s="7"/>
      <c r="AC143" s="2"/>
      <c r="AD143" s="7"/>
      <c r="AE143" s="7"/>
      <c r="AF143" s="8"/>
      <c r="AG143" s="8"/>
    </row>
    <row r="144" spans="1:33" x14ac:dyDescent="0.25">
      <c r="A144" s="2" t="s">
        <v>334</v>
      </c>
      <c r="B144" s="3">
        <v>46239</v>
      </c>
      <c r="C144" s="3">
        <v>46258</v>
      </c>
      <c r="D144" s="2" t="s">
        <v>707</v>
      </c>
      <c r="E144" s="2" t="s">
        <v>651</v>
      </c>
      <c r="F144" s="2" t="s">
        <v>708</v>
      </c>
      <c r="G144" s="2" t="s">
        <v>106</v>
      </c>
      <c r="H144" s="2" t="s">
        <v>315</v>
      </c>
      <c r="I144" s="2" t="s">
        <v>709</v>
      </c>
      <c r="J144" s="2" t="s">
        <v>710</v>
      </c>
      <c r="K144" s="2"/>
      <c r="L144" s="2" t="s">
        <v>711</v>
      </c>
      <c r="M144" s="2" t="s">
        <v>712</v>
      </c>
      <c r="N144" s="2" t="s">
        <v>666</v>
      </c>
      <c r="O144" s="2" t="s">
        <v>713</v>
      </c>
      <c r="P144" s="2">
        <v>15</v>
      </c>
      <c r="Q144" s="2" t="s">
        <v>253</v>
      </c>
      <c r="R144" s="4">
        <v>1.4319999999999999</v>
      </c>
      <c r="S144" s="5">
        <v>1.4319999999999999</v>
      </c>
      <c r="T144" s="5">
        <f t="shared" si="4"/>
        <v>21.48</v>
      </c>
      <c r="U144" s="2" t="str">
        <f t="shared" si="2"/>
        <v>NON-FOC</v>
      </c>
      <c r="V144" s="3">
        <v>46254</v>
      </c>
      <c r="W144" s="2" t="str">
        <f>VLOOKUP(E144&amp;"_"&amp;Q144,'[1].'!$A$2:$B$30,2,FALSE)</f>
        <v>SHANK</v>
      </c>
      <c r="X144" s="2" t="s">
        <v>714</v>
      </c>
      <c r="Y144" s="2" t="s">
        <v>50</v>
      </c>
      <c r="Z144" s="6">
        <v>712607960</v>
      </c>
      <c r="AA144" s="2" t="s">
        <v>68</v>
      </c>
      <c r="AB144" s="7"/>
      <c r="AC144" s="2"/>
      <c r="AD144" s="7"/>
      <c r="AE144" s="7"/>
      <c r="AF144" s="8"/>
      <c r="AG144" s="8"/>
    </row>
    <row r="145" spans="1:33" x14ac:dyDescent="0.25">
      <c r="A145" s="2" t="s">
        <v>334</v>
      </c>
      <c r="B145" s="3">
        <v>46239</v>
      </c>
      <c r="C145" s="3">
        <v>46258</v>
      </c>
      <c r="D145" s="2" t="s">
        <v>707</v>
      </c>
      <c r="E145" s="2" t="s">
        <v>651</v>
      </c>
      <c r="F145" s="2" t="s">
        <v>708</v>
      </c>
      <c r="G145" s="2" t="s">
        <v>106</v>
      </c>
      <c r="H145" s="2" t="s">
        <v>315</v>
      </c>
      <c r="I145" s="2" t="s">
        <v>709</v>
      </c>
      <c r="J145" s="2" t="s">
        <v>710</v>
      </c>
      <c r="K145" s="2"/>
      <c r="L145" s="2" t="s">
        <v>711</v>
      </c>
      <c r="M145" s="2" t="s">
        <v>712</v>
      </c>
      <c r="N145" s="2" t="s">
        <v>666</v>
      </c>
      <c r="O145" s="2" t="s">
        <v>715</v>
      </c>
      <c r="P145" s="2">
        <v>8</v>
      </c>
      <c r="Q145" s="2" t="s">
        <v>253</v>
      </c>
      <c r="R145" s="4">
        <v>1.4319999999999999</v>
      </c>
      <c r="S145" s="5">
        <v>1.4319999999999999</v>
      </c>
      <c r="T145" s="5">
        <f t="shared" si="4"/>
        <v>11.46</v>
      </c>
      <c r="U145" s="2" t="str">
        <f t="shared" si="2"/>
        <v>NON-FOC</v>
      </c>
      <c r="V145" s="3">
        <v>46254</v>
      </c>
      <c r="W145" s="2" t="str">
        <f>VLOOKUP(E145&amp;"_"&amp;Q145,'[1].'!$A$2:$B$30,2,FALSE)</f>
        <v>SHANK</v>
      </c>
      <c r="X145" s="2" t="s">
        <v>714</v>
      </c>
      <c r="Y145" s="2" t="s">
        <v>50</v>
      </c>
      <c r="Z145" s="6">
        <v>712607961</v>
      </c>
      <c r="AA145" s="2" t="s">
        <v>68</v>
      </c>
      <c r="AB145" s="7"/>
      <c r="AC145" s="2"/>
      <c r="AD145" s="7"/>
      <c r="AE145" s="7"/>
      <c r="AF145" s="8"/>
      <c r="AG145" s="8"/>
    </row>
    <row r="146" spans="1:33" x14ac:dyDescent="0.25">
      <c r="A146" s="2" t="s">
        <v>334</v>
      </c>
      <c r="B146" s="3">
        <v>46239</v>
      </c>
      <c r="C146" s="3">
        <v>46258</v>
      </c>
      <c r="D146" s="2" t="s">
        <v>707</v>
      </c>
      <c r="E146" s="2" t="s">
        <v>651</v>
      </c>
      <c r="F146" s="2" t="s">
        <v>708</v>
      </c>
      <c r="G146" s="2" t="s">
        <v>106</v>
      </c>
      <c r="H146" s="2" t="s">
        <v>315</v>
      </c>
      <c r="I146" s="2" t="s">
        <v>716</v>
      </c>
      <c r="J146" s="2" t="s">
        <v>717</v>
      </c>
      <c r="K146" s="2"/>
      <c r="L146" s="2" t="s">
        <v>711</v>
      </c>
      <c r="M146" s="2" t="s">
        <v>712</v>
      </c>
      <c r="N146" s="2" t="s">
        <v>666</v>
      </c>
      <c r="O146" s="2" t="s">
        <v>718</v>
      </c>
      <c r="P146" s="2">
        <v>15</v>
      </c>
      <c r="Q146" s="2" t="s">
        <v>253</v>
      </c>
      <c r="R146" s="4">
        <v>1.4319999999999999</v>
      </c>
      <c r="S146" s="5">
        <v>1.4319999999999999</v>
      </c>
      <c r="T146" s="5">
        <f t="shared" si="4"/>
        <v>21.48</v>
      </c>
      <c r="U146" s="2" t="str">
        <f t="shared" si="2"/>
        <v>NON-FOC</v>
      </c>
      <c r="V146" s="3">
        <v>46254</v>
      </c>
      <c r="W146" s="2" t="str">
        <f>VLOOKUP(E146&amp;"_"&amp;Q146,'[1].'!$A$2:$B$30,2,FALSE)</f>
        <v>SHANK</v>
      </c>
      <c r="X146" s="2" t="s">
        <v>714</v>
      </c>
      <c r="Y146" s="2" t="s">
        <v>50</v>
      </c>
      <c r="Z146" s="6">
        <v>712607962</v>
      </c>
      <c r="AA146" s="2" t="s">
        <v>68</v>
      </c>
      <c r="AB146" s="7"/>
      <c r="AC146" s="2"/>
      <c r="AD146" s="7"/>
      <c r="AE146" s="7"/>
      <c r="AF146" s="8"/>
      <c r="AG146" s="8"/>
    </row>
    <row r="147" spans="1:33" x14ac:dyDescent="0.25">
      <c r="A147" s="2" t="s">
        <v>334</v>
      </c>
      <c r="B147" s="3">
        <v>46239</v>
      </c>
      <c r="C147" s="3">
        <v>46258</v>
      </c>
      <c r="D147" s="2" t="s">
        <v>707</v>
      </c>
      <c r="E147" s="2" t="s">
        <v>651</v>
      </c>
      <c r="F147" s="2" t="s">
        <v>708</v>
      </c>
      <c r="G147" s="2" t="s">
        <v>106</v>
      </c>
      <c r="H147" s="2" t="s">
        <v>315</v>
      </c>
      <c r="I147" s="2" t="s">
        <v>716</v>
      </c>
      <c r="J147" s="2" t="s">
        <v>717</v>
      </c>
      <c r="K147" s="2"/>
      <c r="L147" s="2" t="s">
        <v>711</v>
      </c>
      <c r="M147" s="2" t="s">
        <v>712</v>
      </c>
      <c r="N147" s="2" t="s">
        <v>666</v>
      </c>
      <c r="O147" s="2" t="s">
        <v>719</v>
      </c>
      <c r="P147" s="2">
        <v>8</v>
      </c>
      <c r="Q147" s="2" t="s">
        <v>253</v>
      </c>
      <c r="R147" s="4">
        <v>1.4319999999999999</v>
      </c>
      <c r="S147" s="5">
        <v>1.4319999999999999</v>
      </c>
      <c r="T147" s="5">
        <f t="shared" si="4"/>
        <v>11.46</v>
      </c>
      <c r="U147" s="2" t="str">
        <f t="shared" si="2"/>
        <v>NON-FOC</v>
      </c>
      <c r="V147" s="3">
        <v>46254</v>
      </c>
      <c r="W147" s="2" t="str">
        <f>VLOOKUP(E147&amp;"_"&amp;Q147,'[1].'!$A$2:$B$30,2,FALSE)</f>
        <v>SHANK</v>
      </c>
      <c r="X147" s="2" t="s">
        <v>714</v>
      </c>
      <c r="Y147" s="2" t="s">
        <v>50</v>
      </c>
      <c r="Z147" s="6">
        <v>712607963</v>
      </c>
      <c r="AA147" s="2" t="s">
        <v>68</v>
      </c>
      <c r="AB147" s="7"/>
      <c r="AC147" s="2"/>
      <c r="AD147" s="7"/>
      <c r="AE147" s="7"/>
      <c r="AF147" s="8"/>
      <c r="AG147" s="8"/>
    </row>
    <row r="148" spans="1:33" x14ac:dyDescent="0.25">
      <c r="A148" s="2" t="s">
        <v>405</v>
      </c>
      <c r="B148" s="3">
        <v>46245</v>
      </c>
      <c r="C148" s="3">
        <v>46263</v>
      </c>
      <c r="D148" s="2" t="s">
        <v>720</v>
      </c>
      <c r="E148" s="2" t="s">
        <v>651</v>
      </c>
      <c r="F148" s="2" t="s">
        <v>328</v>
      </c>
      <c r="G148" s="2" t="s">
        <v>58</v>
      </c>
      <c r="H148" s="2" t="s">
        <v>73</v>
      </c>
      <c r="I148" s="2" t="s">
        <v>721</v>
      </c>
      <c r="J148" s="2" t="s">
        <v>652</v>
      </c>
      <c r="K148" s="2"/>
      <c r="L148" s="2" t="s">
        <v>653</v>
      </c>
      <c r="M148" s="2" t="s">
        <v>722</v>
      </c>
      <c r="N148" s="2" t="s">
        <v>666</v>
      </c>
      <c r="O148" s="2" t="s">
        <v>723</v>
      </c>
      <c r="P148" s="2">
        <v>2</v>
      </c>
      <c r="Q148" s="2" t="s">
        <v>253</v>
      </c>
      <c r="R148" s="4">
        <v>1.452</v>
      </c>
      <c r="S148" s="5">
        <v>1.452</v>
      </c>
      <c r="T148" s="5">
        <f>ROUND(S148*P148,2)</f>
        <v>2.9</v>
      </c>
      <c r="U148" s="2" t="str">
        <f t="shared" si="2"/>
        <v>NON-FOC</v>
      </c>
      <c r="V148" s="3">
        <v>46254</v>
      </c>
      <c r="W148" s="2" t="str">
        <f>VLOOKUP(E148&amp;"_"&amp;Q148,'[1].'!$A$2:$B$30,2,FALSE)</f>
        <v>SHANK</v>
      </c>
      <c r="X148" s="2" t="s">
        <v>724</v>
      </c>
      <c r="Y148" s="2" t="s">
        <v>50</v>
      </c>
      <c r="Z148" s="6">
        <v>712608039</v>
      </c>
      <c r="AA148" s="2" t="s">
        <v>68</v>
      </c>
      <c r="AB148" s="7"/>
      <c r="AC148" s="2"/>
      <c r="AD148" s="7"/>
      <c r="AE148" s="7"/>
      <c r="AF148" s="8"/>
      <c r="AG148" s="8"/>
    </row>
    <row r="149" spans="1:33" x14ac:dyDescent="0.25">
      <c r="A149" s="2" t="s">
        <v>405</v>
      </c>
      <c r="B149" s="3">
        <v>46247</v>
      </c>
      <c r="C149" s="3">
        <v>46269</v>
      </c>
      <c r="D149" s="2" t="s">
        <v>725</v>
      </c>
      <c r="E149" s="2" t="s">
        <v>651</v>
      </c>
      <c r="F149" s="2" t="s">
        <v>328</v>
      </c>
      <c r="G149" s="2" t="s">
        <v>106</v>
      </c>
      <c r="H149" s="2" t="s">
        <v>206</v>
      </c>
      <c r="I149" s="2" t="s">
        <v>726</v>
      </c>
      <c r="J149" s="2" t="s">
        <v>652</v>
      </c>
      <c r="K149" s="2" t="s">
        <v>663</v>
      </c>
      <c r="L149" s="2" t="s">
        <v>653</v>
      </c>
      <c r="M149" s="2" t="s">
        <v>722</v>
      </c>
      <c r="N149" s="2" t="s">
        <v>666</v>
      </c>
      <c r="O149" s="2" t="s">
        <v>727</v>
      </c>
      <c r="P149" s="2">
        <v>80</v>
      </c>
      <c r="Q149" s="2" t="s">
        <v>253</v>
      </c>
      <c r="R149" s="4">
        <v>1.452</v>
      </c>
      <c r="S149" s="5">
        <v>1.452</v>
      </c>
      <c r="T149" s="5">
        <f>ROUND(S149*P149,2)</f>
        <v>116.16</v>
      </c>
      <c r="U149" s="2" t="str">
        <f t="shared" si="2"/>
        <v>NON-FOC</v>
      </c>
      <c r="V149" s="3">
        <v>46254</v>
      </c>
      <c r="W149" s="2" t="str">
        <f>VLOOKUP(E149&amp;"_"&amp;Q149,'[1].'!$A$2:$B$30,2,FALSE)</f>
        <v>SHANK</v>
      </c>
      <c r="X149" s="2" t="s">
        <v>728</v>
      </c>
      <c r="Y149" s="2" t="s">
        <v>50</v>
      </c>
      <c r="Z149" s="6">
        <v>712608082</v>
      </c>
      <c r="AA149" s="2" t="s">
        <v>68</v>
      </c>
      <c r="AB149" s="7"/>
      <c r="AC149" s="2"/>
      <c r="AD149" s="7"/>
      <c r="AE149" s="7"/>
      <c r="AF149" s="8"/>
      <c r="AG149" s="8"/>
    </row>
    <row r="150" spans="1:33" x14ac:dyDescent="0.25">
      <c r="A150" s="2" t="s">
        <v>601</v>
      </c>
      <c r="B150" s="3">
        <v>46248</v>
      </c>
      <c r="C150" s="3">
        <v>46256</v>
      </c>
      <c r="D150" s="2" t="s">
        <v>729</v>
      </c>
      <c r="E150" s="2" t="s">
        <v>622</v>
      </c>
      <c r="F150" s="2" t="s">
        <v>730</v>
      </c>
      <c r="G150" s="2" t="s">
        <v>106</v>
      </c>
      <c r="H150" s="2" t="s">
        <v>731</v>
      </c>
      <c r="I150" s="2" t="s">
        <v>732</v>
      </c>
      <c r="J150" s="2" t="s">
        <v>652</v>
      </c>
      <c r="K150" s="2"/>
      <c r="L150" s="2" t="s">
        <v>733</v>
      </c>
      <c r="M150" s="2" t="s">
        <v>734</v>
      </c>
      <c r="N150" s="2" t="s">
        <v>735</v>
      </c>
      <c r="O150" s="2" t="s">
        <v>736</v>
      </c>
      <c r="P150" s="2">
        <v>20</v>
      </c>
      <c r="Q150" s="2" t="s">
        <v>253</v>
      </c>
      <c r="R150" s="4">
        <v>2.41</v>
      </c>
      <c r="S150" s="5">
        <v>2.41</v>
      </c>
      <c r="T150" s="5">
        <f>S150*P150</f>
        <v>48.2</v>
      </c>
      <c r="U150" s="2" t="str">
        <f t="shared" si="2"/>
        <v>NON-FOC</v>
      </c>
      <c r="V150" s="3">
        <v>46254</v>
      </c>
      <c r="W150" s="2" t="str">
        <f>VLOOKUP(E150&amp;"_"&amp;Q150,'[1].'!$A$2:$B$30,2,FALSE)</f>
        <v>SHANK</v>
      </c>
      <c r="X150" s="2" t="s">
        <v>737</v>
      </c>
      <c r="Y150" s="2" t="s">
        <v>50</v>
      </c>
      <c r="Z150" s="6">
        <v>712608119</v>
      </c>
      <c r="AA150" s="2" t="s">
        <v>68</v>
      </c>
      <c r="AB150" s="7"/>
      <c r="AC150" s="2"/>
      <c r="AD150" s="7"/>
      <c r="AE150" s="7"/>
      <c r="AF150" s="8"/>
      <c r="AG150" s="8"/>
    </row>
    <row r="151" spans="1:33" x14ac:dyDescent="0.25">
      <c r="A151" s="2" t="s">
        <v>463</v>
      </c>
      <c r="B151" s="3">
        <v>46247</v>
      </c>
      <c r="C151" s="3">
        <v>46262</v>
      </c>
      <c r="D151" s="2" t="s">
        <v>738</v>
      </c>
      <c r="E151" s="2" t="s">
        <v>739</v>
      </c>
      <c r="F151" s="2" t="s">
        <v>465</v>
      </c>
      <c r="G151" s="2" t="s">
        <v>106</v>
      </c>
      <c r="H151" s="2" t="s">
        <v>213</v>
      </c>
      <c r="I151" s="2" t="s">
        <v>740</v>
      </c>
      <c r="J151" s="2" t="s">
        <v>625</v>
      </c>
      <c r="K151" s="2" t="s">
        <v>741</v>
      </c>
      <c r="L151" s="2" t="s">
        <v>742</v>
      </c>
      <c r="M151" s="2" t="s">
        <v>743</v>
      </c>
      <c r="N151" s="2" t="s">
        <v>666</v>
      </c>
      <c r="O151" s="2" t="s">
        <v>252</v>
      </c>
      <c r="P151" s="2">
        <v>35</v>
      </c>
      <c r="Q151" s="2" t="s">
        <v>253</v>
      </c>
      <c r="R151" s="4">
        <v>0.22</v>
      </c>
      <c r="S151" s="5">
        <v>0.22</v>
      </c>
      <c r="T151" s="5" t="s">
        <v>47</v>
      </c>
      <c r="U151" s="2" t="str">
        <f t="shared" si="2"/>
        <v>FOC</v>
      </c>
      <c r="V151" s="3">
        <v>46254</v>
      </c>
      <c r="W151" s="2" t="str">
        <f>VLOOKUP(E151&amp;"_"&amp;Q151,'[1].'!$A$2:$B$30,2,FALSE)</f>
        <v>SHANK</v>
      </c>
      <c r="X151" s="2" t="s">
        <v>744</v>
      </c>
      <c r="Y151" s="2" t="s">
        <v>50</v>
      </c>
      <c r="Z151" s="6">
        <v>712608123</v>
      </c>
      <c r="AA151" s="2" t="s">
        <v>51</v>
      </c>
      <c r="AB151" s="7" t="s">
        <v>52</v>
      </c>
      <c r="AC151" s="2" t="s">
        <v>632</v>
      </c>
      <c r="AD151" s="7" t="s">
        <v>745</v>
      </c>
      <c r="AE151" s="7"/>
      <c r="AF151" s="8"/>
      <c r="AG151" s="8"/>
    </row>
  </sheetData>
  <conditionalFormatting sqref="Z2:Z151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ms365lic46</cp:lastModifiedBy>
  <dcterms:created xsi:type="dcterms:W3CDTF">2026-08-21T03:19:21Z</dcterms:created>
  <dcterms:modified xsi:type="dcterms:W3CDTF">2026-08-21T04:20:32Z</dcterms:modified>
</cp:coreProperties>
</file>